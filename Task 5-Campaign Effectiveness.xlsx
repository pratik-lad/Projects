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 Final\"/>
    </mc:Choice>
  </mc:AlternateContent>
  <xr:revisionPtr revIDLastSave="0" documentId="13_ncr:1_{91406FA1-EB62-4340-9379-D53F7CA1B7F2}" xr6:coauthVersionLast="47" xr6:coauthVersionMax="47" xr10:uidLastSave="{00000000-0000-0000-0000-000000000000}"/>
  <bookViews>
    <workbookView xWindow="-108" yWindow="-108" windowWidth="23256" windowHeight="12456" firstSheet="1" activeTab="4" xr2:uid="{F5FEFB03-5DDF-49D9-9A9F-D5596BAA1CBD}"/>
  </bookViews>
  <sheets>
    <sheet name="Campaign Metadata" sheetId="3" state="hidden" r:id="rId1"/>
    <sheet name="Cleaned Post" sheetId="1" r:id="rId2"/>
    <sheet name="Campaign_Performance" sheetId="4" r:id="rId3"/>
    <sheet name="Engagement Uplift" sheetId="5" r:id="rId4"/>
    <sheet name="Campaign ROI" sheetId="6" r:id="rId5"/>
    <sheet name="Engagement Summary" sheetId="2" state="hidden" r:id="rId6"/>
  </sheets>
  <calcPr calcId="191029"/>
  <pivotCaches>
    <pivotCache cacheId="6" r:id="rId7"/>
    <pivotCache cacheId="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 a="1"/>
  <c r="H3" i="2"/>
  <c r="H4" i="2" a="1"/>
  <c r="H4" i="2"/>
  <c r="H5" i="2" a="1"/>
  <c r="H5" i="2"/>
  <c r="H6" i="2" a="1"/>
  <c r="H6" i="2"/>
  <c r="H7" i="2" a="1"/>
  <c r="H7" i="2"/>
  <c r="H8" i="2" a="1"/>
  <c r="H8" i="2"/>
  <c r="H9" i="2" a="1"/>
  <c r="H9" i="2"/>
  <c r="H10" i="2" a="1"/>
  <c r="H10" i="2"/>
  <c r="H11" i="2" a="1"/>
  <c r="H11" i="2"/>
  <c r="H12" i="2" a="1"/>
  <c r="H12" i="2"/>
  <c r="H13" i="2" a="1"/>
  <c r="H13" i="2"/>
  <c r="H14" i="2" a="1"/>
  <c r="H14" i="2"/>
  <c r="H15" i="2" a="1"/>
  <c r="H15" i="2"/>
  <c r="H16" i="2" a="1"/>
  <c r="H16" i="2"/>
  <c r="H17" i="2" a="1"/>
  <c r="H17" i="2"/>
  <c r="H18" i="2" a="1"/>
  <c r="H18" i="2"/>
  <c r="H19" i="2" a="1"/>
  <c r="H19" i="2"/>
  <c r="H20" i="2" a="1"/>
  <c r="H20" i="2"/>
  <c r="H21" i="2" a="1"/>
  <c r="H21" i="2"/>
  <c r="H22" i="2" a="1"/>
  <c r="H22" i="2"/>
  <c r="H23" i="2" a="1"/>
  <c r="H23" i="2"/>
  <c r="H24" i="2" a="1"/>
  <c r="H24" i="2"/>
  <c r="H25" i="2" a="1"/>
  <c r="H25" i="2"/>
  <c r="H26" i="2" a="1"/>
  <c r="H26" i="2"/>
  <c r="H27" i="2" a="1"/>
  <c r="H27" i="2"/>
  <c r="H28" i="2" a="1"/>
  <c r="H28" i="2"/>
  <c r="H29" i="2" a="1"/>
  <c r="H29" i="2"/>
  <c r="H30" i="2" a="1"/>
  <c r="H30" i="2"/>
  <c r="H31" i="2" a="1"/>
  <c r="H31" i="2"/>
  <c r="H32" i="2" a="1"/>
  <c r="H32" i="2"/>
  <c r="H33" i="2" a="1"/>
  <c r="H33" i="2"/>
  <c r="H34" i="2" a="1"/>
  <c r="H34" i="2"/>
  <c r="H35" i="2" a="1"/>
  <c r="H35" i="2"/>
  <c r="H36" i="2" a="1"/>
  <c r="H36" i="2"/>
  <c r="H37" i="2" a="1"/>
  <c r="H37" i="2"/>
  <c r="H38" i="2" a="1"/>
  <c r="H38" i="2"/>
  <c r="H39" i="2" a="1"/>
  <c r="H39" i="2"/>
  <c r="H40" i="2" a="1"/>
  <c r="H40" i="2"/>
  <c r="H41" i="2" a="1"/>
  <c r="H41" i="2"/>
  <c r="H42" i="2" a="1"/>
  <c r="H42" i="2"/>
  <c r="H43" i="2" a="1"/>
  <c r="H43" i="2"/>
  <c r="H44" i="2" a="1"/>
  <c r="H44" i="2"/>
  <c r="H45" i="2" a="1"/>
  <c r="H45" i="2"/>
  <c r="H46" i="2" a="1"/>
  <c r="H46" i="2"/>
  <c r="H47" i="2" a="1"/>
  <c r="H47" i="2"/>
  <c r="H48" i="2" a="1"/>
  <c r="H48" i="2"/>
  <c r="H49" i="2" a="1"/>
  <c r="H49" i="2"/>
  <c r="H50" i="2" a="1"/>
  <c r="H50" i="2"/>
  <c r="H51" i="2" a="1"/>
  <c r="H51" i="2"/>
  <c r="H52" i="2" a="1"/>
  <c r="H52" i="2"/>
  <c r="H53" i="2" a="1"/>
  <c r="H53" i="2"/>
  <c r="H54" i="2" a="1"/>
  <c r="H54" i="2"/>
  <c r="H55" i="2" a="1"/>
  <c r="H55" i="2"/>
  <c r="H56" i="2" a="1"/>
  <c r="H56" i="2"/>
  <c r="H57" i="2" a="1"/>
  <c r="H57" i="2"/>
  <c r="H58" i="2" a="1"/>
  <c r="H58" i="2"/>
  <c r="H59" i="2" a="1"/>
  <c r="H59" i="2"/>
  <c r="H60" i="2" a="1"/>
  <c r="H60" i="2"/>
  <c r="H61" i="2" a="1"/>
  <c r="H61" i="2"/>
  <c r="H62" i="2" a="1"/>
  <c r="H62" i="2"/>
  <c r="H63" i="2" a="1"/>
  <c r="H63" i="2"/>
  <c r="H64" i="2" a="1"/>
  <c r="H64" i="2"/>
  <c r="H65" i="2" a="1"/>
  <c r="H65" i="2"/>
  <c r="H66" i="2" a="1"/>
  <c r="H66" i="2"/>
  <c r="H67" i="2" a="1"/>
  <c r="H67" i="2"/>
  <c r="H68" i="2" a="1"/>
  <c r="H68" i="2"/>
  <c r="H69" i="2" a="1"/>
  <c r="H69" i="2"/>
  <c r="H70" i="2" a="1"/>
  <c r="H70" i="2"/>
  <c r="H71" i="2" a="1"/>
  <c r="H71" i="2"/>
  <c r="H72" i="2" a="1"/>
  <c r="H72" i="2"/>
  <c r="H73" i="2" a="1"/>
  <c r="H73" i="2"/>
  <c r="H74" i="2" a="1"/>
  <c r="H74" i="2"/>
  <c r="H75" i="2" a="1"/>
  <c r="H75" i="2"/>
  <c r="H76" i="2" a="1"/>
  <c r="H76" i="2"/>
  <c r="H77" i="2" a="1"/>
  <c r="H77" i="2"/>
  <c r="H78" i="2" a="1"/>
  <c r="H78" i="2"/>
  <c r="H79" i="2" a="1"/>
  <c r="H79" i="2"/>
  <c r="H80" i="2" a="1"/>
  <c r="H80" i="2"/>
  <c r="H81" i="2" a="1"/>
  <c r="H81" i="2"/>
  <c r="H82" i="2" a="1"/>
  <c r="H82" i="2"/>
  <c r="H83" i="2" a="1"/>
  <c r="H83" i="2"/>
  <c r="H84" i="2" a="1"/>
  <c r="H84" i="2"/>
  <c r="H85" i="2" a="1"/>
  <c r="H85" i="2"/>
  <c r="H86" i="2" a="1"/>
  <c r="H86" i="2"/>
  <c r="H87" i="2" a="1"/>
  <c r="H87" i="2"/>
  <c r="H88" i="2" a="1"/>
  <c r="H88" i="2"/>
  <c r="H89" i="2" a="1"/>
  <c r="H89" i="2"/>
  <c r="H90" i="2" a="1"/>
  <c r="H90" i="2"/>
  <c r="H91" i="2" a="1"/>
  <c r="H91" i="2"/>
  <c r="H92" i="2" a="1"/>
  <c r="H92" i="2"/>
  <c r="H93" i="2" a="1"/>
  <c r="H93" i="2"/>
  <c r="H94" i="2" a="1"/>
  <c r="H94" i="2"/>
  <c r="H95" i="2" a="1"/>
  <c r="H95" i="2"/>
  <c r="H96" i="2" a="1"/>
  <c r="H96" i="2"/>
  <c r="H97" i="2" a="1"/>
  <c r="H97" i="2"/>
  <c r="H98" i="2" a="1"/>
  <c r="H98" i="2"/>
  <c r="H99" i="2" a="1"/>
  <c r="H99" i="2"/>
  <c r="H100" i="2" a="1"/>
  <c r="H100" i="2"/>
  <c r="H101" i="2" a="1"/>
  <c r="H101" i="2"/>
  <c r="H102" i="2" a="1"/>
  <c r="H102" i="2"/>
  <c r="H103" i="2" a="1"/>
  <c r="H103" i="2"/>
  <c r="H104" i="2" a="1"/>
  <c r="H104" i="2"/>
  <c r="H105" i="2" a="1"/>
  <c r="H105" i="2"/>
  <c r="H106" i="2" a="1"/>
  <c r="H106" i="2"/>
  <c r="H107" i="2" a="1"/>
  <c r="H107" i="2"/>
  <c r="H108" i="2" a="1"/>
  <c r="H108" i="2"/>
  <c r="H109" i="2" a="1"/>
  <c r="H109" i="2"/>
  <c r="H110" i="2" a="1"/>
  <c r="H110" i="2"/>
  <c r="H111" i="2" a="1"/>
  <c r="H111" i="2"/>
  <c r="H112" i="2" a="1"/>
  <c r="H112" i="2"/>
  <c r="H113" i="2" a="1"/>
  <c r="H113" i="2"/>
  <c r="H114" i="2" a="1"/>
  <c r="H114" i="2"/>
  <c r="H115" i="2" a="1"/>
  <c r="H115" i="2"/>
  <c r="H116" i="2" a="1"/>
  <c r="H116" i="2"/>
  <c r="H117" i="2" a="1"/>
  <c r="H117" i="2"/>
  <c r="H118" i="2" a="1"/>
  <c r="H118" i="2"/>
  <c r="H119" i="2" a="1"/>
  <c r="H119" i="2"/>
  <c r="H120" i="2" a="1"/>
  <c r="H120" i="2"/>
  <c r="H121" i="2" a="1"/>
  <c r="H121" i="2"/>
  <c r="H122" i="2" a="1"/>
  <c r="H122" i="2"/>
  <c r="H123" i="2" a="1"/>
  <c r="H123" i="2"/>
  <c r="H124" i="2" a="1"/>
  <c r="H124" i="2"/>
  <c r="H125" i="2" a="1"/>
  <c r="H125" i="2"/>
  <c r="H126" i="2" a="1"/>
  <c r="H126" i="2"/>
  <c r="H127" i="2" a="1"/>
  <c r="H127" i="2"/>
  <c r="H128" i="2" a="1"/>
  <c r="H128" i="2"/>
  <c r="H129" i="2" a="1"/>
  <c r="H129" i="2"/>
  <c r="H130" i="2" a="1"/>
  <c r="H130" i="2"/>
  <c r="H131" i="2" a="1"/>
  <c r="H131" i="2"/>
  <c r="H132" i="2" a="1"/>
  <c r="H132" i="2"/>
  <c r="H133" i="2" a="1"/>
  <c r="H133" i="2"/>
  <c r="H134" i="2" a="1"/>
  <c r="H134" i="2"/>
  <c r="H135" i="2" a="1"/>
  <c r="H135" i="2"/>
  <c r="H136" i="2" a="1"/>
  <c r="H136" i="2"/>
  <c r="H137" i="2" a="1"/>
  <c r="H137" i="2"/>
  <c r="H138" i="2" a="1"/>
  <c r="H138" i="2"/>
  <c r="H139" i="2" a="1"/>
  <c r="H139" i="2"/>
  <c r="H140" i="2" a="1"/>
  <c r="H140" i="2"/>
  <c r="H141" i="2" a="1"/>
  <c r="H141" i="2"/>
  <c r="H142" i="2" a="1"/>
  <c r="H142" i="2"/>
  <c r="H143" i="2" a="1"/>
  <c r="H143" i="2"/>
  <c r="H144" i="2" a="1"/>
  <c r="H144" i="2"/>
  <c r="H145" i="2" a="1"/>
  <c r="H145" i="2"/>
  <c r="H146" i="2" a="1"/>
  <c r="H146" i="2"/>
  <c r="H147" i="2" a="1"/>
  <c r="H147" i="2"/>
  <c r="H148" i="2" a="1"/>
  <c r="H148" i="2"/>
  <c r="H149" i="2" a="1"/>
  <c r="H149" i="2"/>
  <c r="H150" i="2" a="1"/>
  <c r="H150" i="2"/>
  <c r="H151" i="2" a="1"/>
  <c r="H151" i="2"/>
  <c r="H152" i="2" a="1"/>
  <c r="H152" i="2"/>
  <c r="H153" i="2" a="1"/>
  <c r="H153" i="2"/>
  <c r="H154" i="2" a="1"/>
  <c r="H154" i="2"/>
  <c r="H155" i="2" a="1"/>
  <c r="H155" i="2"/>
  <c r="H156" i="2" a="1"/>
  <c r="H156" i="2"/>
  <c r="H157" i="2" a="1"/>
  <c r="H157" i="2"/>
  <c r="H158" i="2" a="1"/>
  <c r="H158" i="2"/>
  <c r="H159" i="2" a="1"/>
  <c r="H159" i="2"/>
  <c r="H160" i="2" a="1"/>
  <c r="H160" i="2"/>
  <c r="H161" i="2" a="1"/>
  <c r="H161" i="2"/>
  <c r="H162" i="2" a="1"/>
  <c r="H162" i="2"/>
  <c r="H163" i="2" a="1"/>
  <c r="H163" i="2"/>
  <c r="H164" i="2" a="1"/>
  <c r="H164" i="2"/>
  <c r="H165" i="2" a="1"/>
  <c r="H165" i="2"/>
  <c r="H166" i="2" a="1"/>
  <c r="H166" i="2"/>
  <c r="H167" i="2" a="1"/>
  <c r="H167" i="2"/>
  <c r="H168" i="2" a="1"/>
  <c r="H168" i="2"/>
  <c r="H169" i="2" a="1"/>
  <c r="H169" i="2"/>
  <c r="H170" i="2" a="1"/>
  <c r="H170" i="2"/>
  <c r="H171" i="2" a="1"/>
  <c r="H171" i="2"/>
  <c r="H172" i="2" a="1"/>
  <c r="H172" i="2"/>
  <c r="H173" i="2" a="1"/>
  <c r="H173" i="2"/>
  <c r="H174" i="2" a="1"/>
  <c r="H174" i="2"/>
  <c r="H175" i="2" a="1"/>
  <c r="H175" i="2"/>
  <c r="H176" i="2" a="1"/>
  <c r="H176" i="2"/>
  <c r="H177" i="2" a="1"/>
  <c r="H177" i="2"/>
  <c r="H178" i="2" a="1"/>
  <c r="H178" i="2"/>
  <c r="H179" i="2" a="1"/>
  <c r="H179" i="2"/>
  <c r="H180" i="2" a="1"/>
  <c r="H180" i="2"/>
  <c r="H181" i="2" a="1"/>
  <c r="H181" i="2"/>
  <c r="H182" i="2" a="1"/>
  <c r="H182" i="2"/>
  <c r="H183" i="2" a="1"/>
  <c r="H183" i="2"/>
  <c r="H184" i="2" a="1"/>
  <c r="H184" i="2"/>
  <c r="H185" i="2" a="1"/>
  <c r="H185" i="2"/>
  <c r="H186" i="2" a="1"/>
  <c r="H186" i="2"/>
  <c r="H187" i="2" a="1"/>
  <c r="H187" i="2"/>
  <c r="H188" i="2" a="1"/>
  <c r="H188" i="2"/>
  <c r="H189" i="2" a="1"/>
  <c r="H189" i="2"/>
  <c r="H190" i="2" a="1"/>
  <c r="H190" i="2"/>
  <c r="H191" i="2" a="1"/>
  <c r="H191" i="2"/>
  <c r="H192" i="2" a="1"/>
  <c r="H192" i="2"/>
  <c r="H193" i="2" a="1"/>
  <c r="H193" i="2"/>
  <c r="H194" i="2" a="1"/>
  <c r="H194" i="2"/>
  <c r="H195" i="2" a="1"/>
  <c r="H195" i="2"/>
  <c r="H196" i="2" a="1"/>
  <c r="H196" i="2"/>
  <c r="H197" i="2" a="1"/>
  <c r="H197" i="2"/>
  <c r="H198" i="2" a="1"/>
  <c r="H198" i="2"/>
  <c r="H199" i="2" a="1"/>
  <c r="H199" i="2"/>
  <c r="H200" i="2" a="1"/>
  <c r="H200" i="2"/>
  <c r="H201" i="2" a="1"/>
  <c r="H201" i="2"/>
  <c r="H2" i="2" a="1"/>
  <c r="H2" i="2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  <c r="F6" i="5"/>
  <c r="E5" i="6"/>
  <c r="E3" i="6"/>
  <c r="E2" i="6"/>
  <c r="E4" i="6"/>
  <c r="F5" i="5"/>
  <c r="F4" i="5"/>
  <c r="F3" i="5"/>
  <c r="F4" i="6" l="1"/>
  <c r="F2" i="6"/>
  <c r="F3" i="6"/>
  <c r="F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<sst xmlns="http://schemas.openxmlformats.org/spreadsheetml/2006/main" count="2284" uniqueCount="395">
  <si>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</si>
  <si>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</si>
  <si>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</si>
  <si>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</si>
  <si>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</si>
  <si>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</si>
  <si>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</si>
  <si>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</si>
  <si>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</si>
  <si>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</si>
  <si>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</si>
  <si>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Engagment Rate</t>
  </si>
  <si>
    <t>Total Engagment</t>
  </si>
  <si>
    <t>Campaign_Name</t>
  </si>
  <si>
    <t>SP001</t>
  </si>
  <si>
    <t>Instagram</t>
  </si>
  <si>
    <t>Text</t>
  </si>
  <si>
    <t>Discover fresh beats on Spotify!</t>
  </si>
  <si>
    <t>ChillVibes</t>
  </si>
  <si>
    <t>#SoundtrackOfLife</t>
  </si>
  <si>
    <t>#NowPlaying</t>
  </si>
  <si>
    <t>SP002</t>
  </si>
  <si>
    <t>Explore the latest podcasts now.</t>
  </si>
  <si>
    <t>IndieWave</t>
  </si>
  <si>
    <t>#DiscoverWeekly</t>
  </si>
  <si>
    <t>SP003</t>
  </si>
  <si>
    <t>Twitter</t>
  </si>
  <si>
    <t>Story</t>
  </si>
  <si>
    <t>New music just dropped. Hit play!</t>
  </si>
  <si>
    <t>#MusicForEveryone</t>
  </si>
  <si>
    <t>SP004</t>
  </si>
  <si>
    <t>Wrapped is here! Relive your top tracks ðŸŽ§</t>
  </si>
  <si>
    <t>SP005</t>
  </si>
  <si>
    <t>YouTube</t>
  </si>
  <si>
    <t>Music that moves youâ€”only on Spotify.</t>
  </si>
  <si>
    <t>#SpotifyWrapped</t>
  </si>
  <si>
    <t>SP006</t>
  </si>
  <si>
    <t>Whatâ€™s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</si>
  <si>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</si>
  <si>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</si>
  <si>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</si>
  <si>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</si>
  <si>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</si>
  <si>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SP010</t>
  </si>
  <si>
    <t>SP011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</si>
  <si>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</si>
  <si>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</si>
  <si>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</si>
  <si>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</si>
  <si>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</si>
  <si>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</si>
  <si>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</si>
  <si>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</si>
  <si>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</si>
  <si>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</si>
  <si>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</si>
  <si>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</si>
  <si>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</si>
  <si>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</si>
  <si>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</si>
  <si>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</si>
  <si>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</si>
  <si>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</si>
  <si>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</si>
  <si>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</si>
  <si>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</si>
  <si>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</si>
  <si>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</si>
  <si>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</si>
  <si>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</si>
  <si>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</si>
  <si>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</si>
  <si>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</si>
  <si>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</si>
  <si>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</si>
  <si>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</si>
  <si>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</si>
  <si>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</si>
  <si>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</si>
  <si>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</si>
  <si>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</si>
  <si>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</si>
  <si>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</si>
  <si>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</si>
  <si>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</si>
  <si>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</si>
  <si>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</si>
  <si>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</si>
  <si>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</si>
  <si>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</si>
  <si>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</si>
  <si>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</si>
  <si>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</si>
  <si>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</si>
  <si>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</si>
  <si>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</si>
  <si>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</si>
  <si>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</si>
  <si>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</si>
  <si>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</si>
  <si>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</si>
  <si>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</si>
  <si>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</si>
  <si>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</si>
  <si>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</si>
  <si>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</si>
  <si>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</si>
  <si>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</si>
  <si>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</si>
  <si>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</si>
  <si>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</si>
  <si>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</si>
  <si>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</si>
  <si>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</si>
  <si>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</si>
  <si>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</si>
  <si>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</si>
  <si>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</si>
  <si>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</si>
  <si>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</si>
  <si>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</si>
  <si>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</si>
  <si>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</si>
  <si>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</si>
  <si>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</si>
  <si>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</si>
  <si>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</si>
  <si>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</si>
  <si>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</si>
  <si>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</si>
  <si>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</si>
  <si>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</si>
  <si>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</si>
  <si>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</si>
  <si>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</si>
  <si>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</si>
  <si>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</si>
  <si>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</si>
  <si>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</si>
  <si>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</si>
  <si>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</si>
  <si>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</si>
  <si>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</si>
  <si>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</si>
  <si>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</si>
  <si>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</si>
  <si>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</si>
  <si>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</si>
  <si>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</si>
  <si>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</si>
  <si>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</si>
  <si>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</si>
  <si>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</si>
  <si>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</si>
  <si>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</si>
  <si>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</si>
  <si>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</si>
  <si>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</si>
  <si>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</si>
  <si>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</si>
  <si>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</si>
  <si>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</si>
  <si>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</si>
  <si>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</si>
  <si>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</si>
  <si>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</si>
  <si>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</si>
  <si>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</si>
  <si>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</si>
  <si>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</si>
  <si>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</si>
  <si>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</si>
  <si>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</si>
  <si>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</si>
  <si>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</si>
  <si>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</si>
  <si>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</si>
  <si>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</si>
  <si>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</si>
  <si>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</si>
  <si>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</si>
  <si>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</si>
  <si>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</si>
  <si>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</si>
  <si>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</si>
  <si>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</si>
  <si>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</si>
  <si>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</si>
  <si>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</si>
  <si>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</si>
  <si>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</si>
  <si>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</si>
  <si>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</si>
  <si>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</si>
  <si>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</si>
  <si>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</si>
  <si>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</si>
  <si>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</si>
  <si>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</si>
  <si>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</si>
  <si>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</si>
  <si>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</si>
  <si>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</si>
  <si>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</si>
  <si>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</si>
  <si>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</si>
  <si>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</si>
  <si>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</si>
  <si>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</si>
  <si>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</si>
  <si>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</si>
  <si>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</si>
  <si>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</si>
  <si>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</si>
  <si>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</si>
  <si>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</si>
  <si>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</si>
  <si>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</si>
  <si>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</si>
  <si>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</si>
  <si>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</si>
  <si>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</si>
  <si>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</si>
  <si>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</si>
  <si>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</si>
  <si>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</si>
  <si>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</si>
  <si>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</si>
  <si>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</si>
  <si>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</si>
  <si>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</si>
  <si>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</si>
  <si>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</si>
  <si>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</si>
  <si>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</si>
  <si>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</si>
  <si>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</si>
  <si>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</si>
  <si>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</si>
  <si>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</si>
  <si>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</si>
  <si>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</si>
  <si>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</si>
  <si>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</si>
  <si>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</si>
  <si>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</si>
  <si>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</si>
  <si>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</si>
  <si>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</si>
  <si>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</si>
  <si>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</si>
  <si>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</si>
  <si>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</si>
  <si>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</si>
  <si>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</si>
  <si>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</si>
  <si>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</si>
  <si>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</si>
  <si>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</si>
  <si>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</si>
  <si>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</si>
  <si>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</si>
  <si>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</si>
  <si>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</si>
  <si>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</si>
  <si>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</si>
  <si>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</si>
  <si>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</si>
  <si>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</si>
  <si>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</si>
  <si>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</si>
  <si>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</si>
  <si>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</si>
  <si>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</si>
  <si>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</si>
  <si>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</si>
  <si>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</si>
  <si>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</si>
  <si>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</si>
  <si>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</si>
  <si>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</si>
  <si>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</si>
  <si>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</si>
  <si>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</si>
  <si>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</si>
  <si>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</si>
  <si>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</si>
  <si>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</si>
  <si>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</si>
  <si>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</si>
  <si>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</si>
  <si>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</si>
  <si>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</si>
  <si>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</si>
  <si>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</si>
  <si>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</si>
  <si>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</si>
  <si>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</si>
  <si>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</si>
  <si>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</si>
  <si>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</si>
  <si>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</si>
  <si>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</si>
  <si>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</si>
  <si>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</si>
  <si>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</si>
  <si>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</si>
  <si>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</si>
  <si>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</si>
  <si>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</si>
  <si>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</si>
  <si>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</si>
  <si>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</si>
  <si>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</si>
  <si>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</si>
  <si>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</si>
  <si>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</si>
  <si>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</si>
  <si>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</si>
  <si>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</si>
  <si>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</si>
  <si>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</si>
  <si>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</si>
  <si>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</si>
  <si>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</si>
  <si>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</si>
  <si>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</si>
  <si>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</si>
  <si>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</si>
  <si>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</si>
  <si>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</si>
  <si>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</si>
  <si>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</si>
  <si>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</si>
  <si>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</si>
  <si>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</si>
  <si>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</si>
  <si>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</si>
  <si>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</si>
  <si>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</si>
  <si>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</si>
  <si>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</si>
  <si>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</si>
  <si>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</si>
  <si>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</si>
  <si>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</si>
  <si>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</si>
  <si>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</si>
  <si>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</si>
  <si>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</si>
  <si>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Brand Awareness</t>
  </si>
  <si>
    <t>Instagram,YouTube</t>
  </si>
  <si>
    <t>#SpotifyWrapped,#MusicForEveryone</t>
  </si>
  <si>
    <t>Engagement</t>
  </si>
  <si>
    <t>Twitter,YouTube</t>
  </si>
  <si>
    <t>#SpotifyWrapped,#NowPlaying</t>
  </si>
  <si>
    <t>Product Launch</t>
  </si>
  <si>
    <t>Instagram,Twitter</t>
  </si>
  <si>
    <t>#ChillVibes,#SoundtrackOfLife</t>
  </si>
  <si>
    <t>Traffic</t>
  </si>
  <si>
    <t>Facebook,Instagram</t>
  </si>
  <si>
    <t>#DiscoverWeekly,#IndieWave</t>
  </si>
  <si>
    <t>Sum of Impressions</t>
  </si>
  <si>
    <t>Sum of Likes</t>
  </si>
  <si>
    <t>Average of Likes</t>
  </si>
  <si>
    <t>Sum of Clicks</t>
  </si>
  <si>
    <t>Row Labels</t>
  </si>
  <si>
    <t>Grand Total</t>
  </si>
  <si>
    <t>Average of Impressions</t>
  </si>
  <si>
    <t>Average of Clicks</t>
  </si>
  <si>
    <t>Campaign Phase</t>
  </si>
  <si>
    <t>Column Labels</t>
  </si>
  <si>
    <t>After</t>
  </si>
  <si>
    <t>Before</t>
  </si>
  <si>
    <t>During</t>
  </si>
  <si>
    <t>Average of Engagment Rate</t>
  </si>
  <si>
    <t>Engagement Uplift</t>
  </si>
  <si>
    <t>Sum of Total Engagment</t>
  </si>
  <si>
    <t>D</t>
  </si>
  <si>
    <t>Sum of Ad_Spend</t>
  </si>
  <si>
    <t>Engagement per ₹-ROI</t>
  </si>
  <si>
    <t>RANK</t>
  </si>
  <si>
    <t>Campaign Performance</t>
  </si>
  <si>
    <t>• ChillVibes generates the highest total engagement (551,989).</t>
  </si>
  <si>
    <t>• IndieWave shows strong engagement with solid click performance.</t>
  </si>
  <si>
    <t>• SummerBeats underperforms compared to other campaigns.</t>
  </si>
  <si>
    <t>• ChillVibes and IndieWave show positive engagement uplift during campaign period.</t>
  </si>
  <si>
    <t>• SummerBeats shows negative uplift, indicating campaign inefficiency.</t>
  </si>
  <si>
    <t>• Wrapped2024 demonstrates moderate improvement.</t>
  </si>
  <si>
    <t>• ChillVibes achieves the highest ROI (~2.74), delivering strong engagement per ₹ spent.</t>
  </si>
  <si>
    <t>• IndieWave also shows strong ROI (~1.32).</t>
  </si>
  <si>
    <t>• SummerBeats and Wrapped2024 have comparatively lower efficiency.</t>
  </si>
  <si>
    <t>• ROI analysis indicates spending effectiveness varies significantly across campaigns.</t>
  </si>
  <si>
    <t>Hashtags Used1</t>
  </si>
  <si>
    <t>hastags used1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</si>
</sst>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&quot;Aptos Narrow&quot;"/>
    </font>
    <font>
      <b/>
      <sz val="11"/>
      <color theme="1"/>
      <name val="Calibri"/>
    </font>
    <font>
      <sz val="11"/>
      <color theme="1"/>
      <name val="&quot;Aptos Narrow&quot;"/>
    </font>
    <font>
      <b/>
      <sz val="13.5"/>
      <color theme="1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3" fillId="0" borderId="0" xfId="1" applyFont="1"/>
    <xf numFmtId="164" fontId="3" fillId="0" borderId="0" xfId="1" applyNumberFormat="1" applyFont="1"/>
    <xf numFmtId="0" fontId="2" fillId="0" borderId="0" xfId="1"/>
    <xf numFmtId="164" fontId="3" fillId="0" borderId="0" xfId="1" applyNumberFormat="1" applyFont="1" applyAlignment="1">
      <alignment horizontal="right"/>
    </xf>
    <xf numFmtId="0" fontId="3" fillId="0" borderId="0" xfId="1" applyFont="1" applyAlignment="1">
      <alignment horizontal="right"/>
    </xf>
    <xf numFmtId="10" fontId="3" fillId="0" borderId="0" xfId="1" applyNumberFormat="1" applyFont="1" applyAlignment="1">
      <alignment horizontal="right"/>
    </xf>
    <xf numFmtId="164" fontId="2" fillId="0" borderId="0" xfId="1" applyNumberFormat="1"/>
    <xf numFmtId="0" fontId="4" fillId="0" borderId="1" xfId="1" applyFont="1" applyBorder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0" fontId="0" fillId="3" borderId="0" xfId="0" applyFill="1"/>
    <xf numFmtId="0" fontId="0" fillId="3" borderId="0" xfId="0" applyFill="1" applyAlignment="1">
      <alignment horizontal="left"/>
    </xf>
    <xf numFmtId="10" fontId="0" fillId="3" borderId="0" xfId="0" applyNumberFormat="1" applyFill="1"/>
    <xf numFmtId="0" fontId="0" fillId="4" borderId="0" xfId="0" applyFill="1"/>
    <xf numFmtId="0" fontId="0" fillId="3" borderId="0" xfId="0" applyFill="1" applyAlignment="1">
      <alignment horizontal="center" vertical="center"/>
    </xf>
    <xf numFmtId="0" fontId="0" fillId="0" borderId="0" xfId="1" applyFont="1"/>
    <xf numFmtId="0" fontId="0" fillId="5" borderId="0" xfId="0" applyFill="1"/>
    <xf numFmtId="0" fontId="6" fillId="5" borderId="0" xfId="0" applyFont="1" applyFill="1" applyAlignment="1">
      <alignment vertical="center"/>
    </xf>
    <xf numFmtId="2" fontId="0" fillId="3" borderId="0" xfId="0" applyNumberFormat="1" applyFill="1"/>
    <xf numFmtId="0" fontId="8" fillId="2" borderId="0" xfId="0" applyFont="1" applyFill="1" applyAlignment="1">
      <alignment horizontal="center" vertical="center"/>
    </xf>
    <xf numFmtId="2" fontId="1" fillId="6" borderId="0" xfId="0" applyNumberFormat="1" applyFont="1" applyFill="1"/>
    <xf numFmtId="0" fontId="0" fillId="6" borderId="0" xfId="0" applyFill="1"/>
    <xf numFmtId="0" fontId="1" fillId="4" borderId="0" xfId="0" applyFont="1" applyFill="1"/>
    <xf numFmtId="0" fontId="0" fillId="7" borderId="0" xfId="0" applyFill="1"/>
    <xf numFmtId="165" fontId="0" fillId="4" borderId="0" xfId="0" applyNumberFormat="1" applyFill="1"/>
    <xf numFmtId="0" fontId="5" fillId="0" borderId="0" xfId="1" applyFont="1"/>
    <xf numFmtId="0" fontId="3" fillId="3" borderId="0" xfId="1" applyFont="1" applyFill="1"/>
    <xf numFmtId="164" fontId="3" fillId="3" borderId="0" xfId="1" applyNumberFormat="1" applyFont="1" applyFill="1"/>
    <xf numFmtId="0" fontId="5" fillId="3" borderId="0" xfId="0" applyFont="1" applyFill="1"/>
    <xf numFmtId="0" fontId="5" fillId="3" borderId="0" xfId="1" applyFont="1" applyFill="1"/>
    <xf numFmtId="0" fontId="5" fillId="3" borderId="0" xfId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2EE9F315-E219-4EAB-8F38-1824CFDDEAFF}"/>
  </cellStyles>
  <dxfs count="28"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numFmt numFmtId="2" formatCode="0.00"/>
    </dxf>
    <dxf>
      <numFmt numFmtId="2" formatCode="0.00"/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k Lad" refreshedDate="46074.121437731483" createdVersion="8" refreshedVersion="8" minRefreshableVersion="3" recordCount="300" xr:uid="{1080A7D5-B26E-4374-910B-18A267192CAA}">
  <cacheSource type="worksheet">
    <worksheetSource ref="A1:Q301" sheet="Cleaned Post"/>
  </cacheSource>
  <cacheFields count="17">
    <cacheField name="Post ID" numFmtId="0">
      <sharedItems/>
    </cacheField>
    <cacheField name="Platform" numFmtId="0">
      <sharedItems/>
    </cacheField>
    <cacheField name="Date" numFmtId="164">
      <sharedItems containsSemiMixedTypes="0" containsNonDate="0" containsDate="1" containsString="0" minDate="2024-01-01T00:00:00" maxDate="2025-07-02T00:00:00"/>
    </cacheField>
    <cacheField name="Campaign Phase" numFmtId="164">
      <sharedItems count="3">
        <s v="After"/>
        <s v="Before"/>
        <s v="During"/>
      </sharedItems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Engagment Rate" numFmtId="10">
      <sharedItems containsSemiMixedTypes="0" containsString="0" containsNumber="1" minValue="2.50275284149232E-2" maxValue="0.26064752360763155"/>
    </cacheField>
    <cacheField name="Total Engagment" numFmtId="0">
      <sharedItems containsSemiMixedTypes="0" containsString="0" containsNumber="1" containsInteger="1" minValue="1341" maxValue="5728"/>
    </cacheField>
    <cacheField name="Campaign_Name" numFmtId="0">
      <sharedItems count="4">
        <s v="ChillVibes"/>
        <s v="IndieWave"/>
        <s v="Wrapped2024"/>
        <s v="SummerBeats"/>
      </sharedItems>
    </cacheField>
    <cacheField name="Hashtags Used" numFmtId="0">
      <sharedItems/>
    </cacheField>
    <cacheField name="hastags use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k Lad" refreshedDate="46074.130646527781" createdVersion="8" refreshedVersion="8" minRefreshableVersion="3" recordCount="200" xr:uid="{0E9C8A31-09E4-45AB-A7D7-FE0248C72207}">
  <cacheSource type="worksheet">
    <worksheetSource ref="A1:H201" sheet="Engagement Summary"/>
  </cacheSource>
  <cacheFields count="8">
    <cacheField name="Week_Start_Date" numFmtId="164">
      <sharedItems containsSemiMixedTypes="0" containsNonDate="0" containsDate="1" containsString="0" minDate="2024-06-03T00:00:00" maxDate="2025-09-09T00:00:00"/>
    </cacheField>
    <cacheField name="Platform" numFmtId="0">
      <sharedItems/>
    </cacheField>
    <cacheField name="New_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Total_Followers" numFmtId="0">
      <sharedItems containsSemiMixedTypes="0" containsString="0" containsNumber="1" containsInteger="1" minValue="61445" maxValue="397607"/>
    </cacheField>
    <cacheField name="Engagment Rate" numFmtId="10">
      <sharedItems containsSemiMixedTypes="0" containsString="0" containsNumber="1" minValue="3.0800000000000001E-2" maxValue="9.9900000000000003E-2"/>
    </cacheField>
    <cacheField name="Ad_Spend" numFmtId="0">
      <sharedItems containsSemiMixedTypes="0" containsString="0" containsNumber="1" containsInteger="1" minValue="5281" maxValue="27829"/>
    </cacheField>
    <cacheField name="Campaign_Name" numFmtId="0">
      <sharedItems count="5">
        <s v="Non-Campaign"/>
        <s v="SummerBeats"/>
        <s v="Wrapped2024"/>
        <s v="ChillVibes"/>
        <s v="IndieWa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s v="Instagram"/>
    <d v="2025-05-04T00:00:00"/>
    <x v="0"/>
    <s v="Text"/>
    <s v="Discover fresh beats on Spotify!"/>
    <n v="2414"/>
    <n v="245"/>
    <n v="137"/>
    <n v="21181"/>
    <n v="45292"/>
    <n v="133"/>
    <n v="0.13200509890939993"/>
    <n v="2796"/>
    <x v="0"/>
    <s v="#SoundtrackOfLife"/>
    <s v="#NowPlaying"/>
  </r>
  <r>
    <s v="SP002"/>
    <s v="Instagram"/>
    <d v="2025-02-01T00:00:00"/>
    <x v="1"/>
    <s v="Text"/>
    <s v="Explore the latest podcasts now."/>
    <n v="1934"/>
    <n v="210"/>
    <n v="393"/>
    <n v="29129"/>
    <n v="73287"/>
    <n v="273"/>
    <n v="8.7095334546328396E-2"/>
    <n v="2537"/>
    <x v="1"/>
    <s v="#DiscoverWeekly"/>
    <m/>
  </r>
  <r>
    <s v="SP003"/>
    <s v="Twitter"/>
    <d v="2024-12-03T00:00:00"/>
    <x v="1"/>
    <s v="Story"/>
    <s v="New music just dropped. Hit play!"/>
    <n v="3092"/>
    <n v="177"/>
    <n v="81"/>
    <n v="47533"/>
    <n v="29220"/>
    <n v="121"/>
    <n v="7.0477352576105018E-2"/>
    <n v="3350"/>
    <x v="0"/>
    <s v="#MusicForEveryone"/>
    <s v="#NowPlaying"/>
  </r>
  <r>
    <s v="SP004"/>
    <s v="Instagram"/>
    <d v="2024-12-03T00:00:00"/>
    <x v="1"/>
    <s v="Text"/>
    <s v="Wrapped is here! Relive your top tracks ðŸŽ§"/>
    <n v="3173"/>
    <n v="229"/>
    <n v="197"/>
    <n v="29604"/>
    <n v="21809"/>
    <n v="272"/>
    <n v="0.1215714092690177"/>
    <n v="3599"/>
    <x v="0"/>
    <s v="#SoundtrackOfLife"/>
    <s v="#NowPlaying"/>
  </r>
  <r>
    <s v="SP005"/>
    <s v="YouTube"/>
    <d v="2024-04-06T00:00:00"/>
    <x v="1"/>
    <s v="Text"/>
    <s v="Music that moves youâ€”only on Spotify."/>
    <n v="2748"/>
    <n v="145"/>
    <n v="315"/>
    <n v="24401"/>
    <n v="61182"/>
    <n v="200"/>
    <n v="0.1314700217204213"/>
    <n v="3208"/>
    <x v="1"/>
    <s v="#DiscoverWeekly"/>
    <s v="#SpotifyWrapped"/>
  </r>
  <r>
    <s v="SP006"/>
    <s v="YouTube"/>
    <d v="2024-06-13T00:00:00"/>
    <x v="1"/>
    <s v="Text"/>
    <s v="Whatâ€™s your vibe today? #SpotifyHits"/>
    <n v="3882"/>
    <n v="239"/>
    <n v="275"/>
    <n v="58748"/>
    <n v="44646"/>
    <n v="149"/>
    <n v="7.4828079253761837E-2"/>
    <n v="4396"/>
    <x v="1"/>
    <s v="#DiscoverWeekly"/>
    <s v="#SpotifyWrapped"/>
  </r>
  <r>
    <s v="SP007"/>
    <s v="Twitter"/>
    <d v="2024-12-19T00:00:00"/>
    <x v="1"/>
    <s v="Story"/>
    <s v="Get into the groove with our new drop!"/>
    <n v="4674"/>
    <n v="409"/>
    <n v="327"/>
    <n v="20756"/>
    <n v="63599"/>
    <n v="212"/>
    <n v="0.26064752360763155"/>
    <n v="5410"/>
    <x v="0"/>
    <s v="#SoundtrackOfLife"/>
    <s v="#NowPlaying"/>
  </r>
  <r>
    <s v="SP008"/>
    <s v="Twitter"/>
    <d v="2024-05-09T00:00:00"/>
    <x v="1"/>
    <s v="Story"/>
    <s v="Wrapped is here! Relive your top tracks ðŸŽ§"/>
    <n v="1428"/>
    <n v="347"/>
    <n v="67"/>
    <n v="21148"/>
    <n v="19712"/>
    <n v="120"/>
    <n v="8.7100435029317191E-2"/>
    <n v="1842"/>
    <x v="0"/>
    <s v="#DiscoverWeekly"/>
    <s v="#MusicForEveryone"/>
  </r>
  <r>
    <s v="SP009"/>
    <s v="Twitter"/>
    <d v="2025-06-15T00:00:00"/>
    <x v="0"/>
    <s v="Text"/>
    <s v="Top trending tracks updated daily!"/>
    <n v="4432"/>
    <n v="223"/>
    <n v="299"/>
    <n v="59016"/>
    <n v="21742"/>
    <n v="171"/>
    <n v="8.3943337400027115E-2"/>
    <n v="4954"/>
    <x v="0"/>
    <s v="#NowPlaying"/>
    <m/>
  </r>
  <r>
    <s v="SP010"/>
    <s v="Twitter"/>
    <d v="2024-12-04T00:00:00"/>
    <x v="1"/>
    <s v="Text"/>
    <s v="Wrapped is here! Relive your top tracks ðŸŽ§"/>
    <n v="2357"/>
    <n v="274"/>
    <n v="172"/>
    <n v="21566"/>
    <n v="66829"/>
    <n v="284"/>
    <n v="0.12997310581470833"/>
    <n v="2803"/>
    <x v="0"/>
    <s v="#NowPlaying"/>
    <m/>
  </r>
  <r>
    <s v="SP011"/>
    <s v="Twitter"/>
    <d v="2024-03-06T00:00:00"/>
    <x v="1"/>
    <s v="Text"/>
    <s v="Discover fresh beats on Spotify!"/>
    <n v="1971"/>
    <n v="370"/>
    <n v="306"/>
    <n v="31316"/>
    <n v="27897"/>
    <n v="88"/>
    <n v="8.4525482181632389E-2"/>
    <n v="2647"/>
    <x v="1"/>
    <s v="#SoundtrackOfLife"/>
    <m/>
  </r>
  <r>
    <s v="SP012"/>
    <s v="Instagram"/>
    <d v="2024-05-14T00:00:00"/>
    <x v="1"/>
    <s v="Text"/>
    <s v="Discover fresh beats on Spotify!"/>
    <n v="1485"/>
    <n v="353"/>
    <n v="244"/>
    <n v="38419"/>
    <n v="38556"/>
    <n v="86"/>
    <n v="5.4191936281527367E-2"/>
    <n v="2082"/>
    <x v="0"/>
    <s v="#SoundtrackOfLife"/>
    <s v="#NowPlaying"/>
  </r>
  <r>
    <s v="SP013"/>
    <s v="Twitter"/>
    <d v="2025-06-18T00:00:00"/>
    <x v="0"/>
    <s v="Story"/>
    <s v="Discover fresh beats on Spotify!"/>
    <n v="3956"/>
    <n v="319"/>
    <n v="61"/>
    <n v="58162"/>
    <n v="28720"/>
    <n v="213"/>
    <n v="7.4550393727863554E-2"/>
    <n v="4336"/>
    <x v="0"/>
    <s v="#MusicForEveryone"/>
    <s v="#NowPlaying"/>
  </r>
  <r>
    <s v="SP014"/>
    <s v="Twitter"/>
    <d v="2024-10-08T00:00:00"/>
    <x v="1"/>
    <s v="Text"/>
    <s v="From pop to podcasts, itâ€™s all here."/>
    <n v="2460"/>
    <n v="409"/>
    <n v="253"/>
    <n v="36702"/>
    <n v="46122"/>
    <n v="264"/>
    <n v="8.5063484278785892E-2"/>
    <n v="3122"/>
    <x v="0"/>
    <s v="#NowPlaying"/>
    <m/>
  </r>
  <r>
    <s v="SP015"/>
    <s v="Twitter"/>
    <d v="2024-05-06T00:00:00"/>
    <x v="1"/>
    <s v="Text"/>
    <s v="Your weekend playlist is waiting."/>
    <n v="3476"/>
    <n v="355"/>
    <n v="396"/>
    <n v="37492"/>
    <n v="27285"/>
    <n v="179"/>
    <n v="0.11274405206444041"/>
    <n v="4227"/>
    <x v="0"/>
    <s v="#NowPlaying"/>
    <m/>
  </r>
  <r>
    <s v="SP016"/>
    <s v="Twitter"/>
    <d v="2024-12-29T00:00:00"/>
    <x v="1"/>
    <s v="Story"/>
    <s v="New music just dropped. Hit play!"/>
    <n v="4049"/>
    <n v="377"/>
    <n v="94"/>
    <n v="48182"/>
    <n v="42875"/>
    <n v="172"/>
    <n v="9.3810966751068869E-2"/>
    <n v="4520"/>
    <x v="0"/>
    <s v="#MusicForEveryone"/>
    <s v="#NowPlaying"/>
  </r>
  <r>
    <s v="SP017"/>
    <s v="Twitter"/>
    <d v="2024-06-10T00:00:00"/>
    <x v="1"/>
    <s v="Text"/>
    <s v="Whatâ€™s your vibe today? #SpotifyHits"/>
    <n v="1514"/>
    <n v="164"/>
    <n v="275"/>
    <n v="41364"/>
    <n v="44389"/>
    <n v="83"/>
    <n v="4.7214969538729328E-2"/>
    <n v="1953"/>
    <x v="0"/>
    <s v="#NowPlaying"/>
    <m/>
  </r>
  <r>
    <s v="SP018"/>
    <s v="Instagram"/>
    <d v="2024-02-03T00:00:00"/>
    <x v="1"/>
    <s v="Story"/>
    <s v="Music that moves youâ€”only on Spotify."/>
    <n v="4281"/>
    <n v="101"/>
    <n v="163"/>
    <n v="32278"/>
    <n v="53382"/>
    <n v="235"/>
    <n v="0.1408079806679472"/>
    <n v="4545"/>
    <x v="2"/>
    <s v="#NowPlaying"/>
    <m/>
  </r>
  <r>
    <s v="SP019"/>
    <s v="YouTube"/>
    <d v="2024-06-15T00:00:00"/>
    <x v="2"/>
    <s v="Reel"/>
    <s v="Get into the groove with our new drop!"/>
    <n v="1751"/>
    <n v="143"/>
    <n v="151"/>
    <n v="31826"/>
    <n v="47729"/>
    <n v="95"/>
    <n v="6.4255640042732362E-2"/>
    <n v="2045"/>
    <x v="3"/>
    <s v="#DiscoverWeekly"/>
    <s v="#SoundtrackOfLife"/>
  </r>
  <r>
    <s v="SP020"/>
    <s v="Instagram"/>
    <d v="2024-07-05T00:00:00"/>
    <x v="1"/>
    <s v="Text"/>
    <s v="Your weekend playlist is waiting."/>
    <n v="3753"/>
    <n v="411"/>
    <n v="308"/>
    <n v="29138"/>
    <n v="27678"/>
    <n v="90"/>
    <n v="0.15347655981879332"/>
    <n v="4472"/>
    <x v="1"/>
    <s v="#DiscoverWeekly"/>
    <m/>
  </r>
  <r>
    <s v="SP021"/>
    <s v="Instagram"/>
    <d v="2024-11-07T00:00:00"/>
    <x v="1"/>
    <s v="Story"/>
    <s v="Wrapped is here! Relive your top tracks ðŸŽ§"/>
    <n v="1678"/>
    <n v="423"/>
    <n v="323"/>
    <n v="55668"/>
    <n v="37945"/>
    <n v="230"/>
    <n v="4.3543867212761371E-2"/>
    <n v="2424"/>
    <x v="2"/>
    <s v="#NowPlaying"/>
    <m/>
  </r>
  <r>
    <s v="SP022"/>
    <s v="Instagram"/>
    <d v="2025-06-15T00:00:00"/>
    <x v="0"/>
    <s v="Text"/>
    <s v="Whatâ€™s your vibe today? #SpotifyHits"/>
    <n v="4896"/>
    <n v="466"/>
    <n v="233"/>
    <n v="28621"/>
    <n v="34270"/>
    <n v="84"/>
    <n v="0.19548583208133888"/>
    <n v="5595"/>
    <x v="0"/>
    <s v="#SoundtrackOfLife"/>
    <s v="#NowPlaying"/>
  </r>
  <r>
    <s v="SP023"/>
    <s v="YouTube"/>
    <d v="2024-06-09T00:00:00"/>
    <x v="1"/>
    <s v="Reel"/>
    <s v="From pop to podcasts, itâ€™s all here."/>
    <n v="2786"/>
    <n v="368"/>
    <n v="208"/>
    <n v="42000"/>
    <n v="39967"/>
    <n v="103"/>
    <n v="8.0047619047619048E-2"/>
    <n v="3362"/>
    <x v="3"/>
    <s v="#DiscoverWeekly"/>
    <s v="#SoundtrackOfLife"/>
  </r>
  <r>
    <s v="SP024"/>
    <s v="Twitter"/>
    <d v="2024-10-18T00:00:00"/>
    <x v="1"/>
    <s v="Text"/>
    <s v="New music just dropped. Hit play!"/>
    <n v="2607"/>
    <n v="379"/>
    <n v="180"/>
    <n v="28712"/>
    <n v="61620"/>
    <n v="174"/>
    <n v="0.11026748397882419"/>
    <n v="3166"/>
    <x v="1"/>
    <s v="#SoundtrackOfLife"/>
    <m/>
  </r>
  <r>
    <s v="SP025"/>
    <s v="YouTube"/>
    <d v="2024-10-10T00:00:00"/>
    <x v="0"/>
    <s v="Reel"/>
    <s v="From pop to podcasts, itâ€™s all here."/>
    <n v="4013"/>
    <n v="320"/>
    <n v="92"/>
    <n v="54605"/>
    <n v="60169"/>
    <n v="232"/>
    <n v="8.1036535115831879E-2"/>
    <n v="4425"/>
    <x v="3"/>
    <s v="#DiscoverWeekly"/>
    <s v="#SoundtrackOfLife"/>
  </r>
  <r>
    <s v="SP026"/>
    <s v="Twitter"/>
    <d v="2025-05-14T00:00:00"/>
    <x v="0"/>
    <s v="Story"/>
    <s v="From pop to podcasts, itâ€™s all here."/>
    <n v="2707"/>
    <n v="103"/>
    <n v="51"/>
    <n v="55302"/>
    <n v="18801"/>
    <n v="147"/>
    <n v="5.173411449857148E-2"/>
    <n v="2861"/>
    <x v="0"/>
    <s v="#DiscoverWeekly"/>
    <s v="#MusicForEveryone"/>
  </r>
  <r>
    <s v="SP027"/>
    <s v="Instagram"/>
    <d v="2024-11-29T00:00:00"/>
    <x v="1"/>
    <s v="Text"/>
    <s v="Whatâ€™s your vibe today? #SpotifyHits"/>
    <n v="2824"/>
    <n v="425"/>
    <n v="274"/>
    <n v="31004"/>
    <n v="53488"/>
    <n v="268"/>
    <n v="0.11363049929041415"/>
    <n v="3523"/>
    <x v="0"/>
    <s v="#SoundtrackOfLife"/>
    <s v="#NowPlaying"/>
  </r>
  <r>
    <s v="SP028"/>
    <s v="YouTube"/>
    <d v="2024-03-05T00:00:00"/>
    <x v="1"/>
    <s v="Reel"/>
    <s v="Explore the latest podcasts now."/>
    <n v="3558"/>
    <n v="314"/>
    <n v="199"/>
    <n v="49612"/>
    <n v="53929"/>
    <n v="206"/>
    <n v="8.205676046117874E-2"/>
    <n v="4071"/>
    <x v="3"/>
    <s v="#DiscoverWeekly"/>
    <s v="#SoundtrackOfLife"/>
  </r>
  <r>
    <s v="SP029"/>
    <s v="Twitter"/>
    <d v="2025-03-18T00:00:00"/>
    <x v="0"/>
    <s v="Story"/>
    <s v="Explore the latest podcasts now."/>
    <n v="3418"/>
    <n v="188"/>
    <n v="387"/>
    <n v="57431"/>
    <n v="36933"/>
    <n v="202"/>
    <n v="6.9526910553533799E-2"/>
    <n v="3993"/>
    <x v="0"/>
    <s v="#MusicForEveryone"/>
    <s v="#NowPlaying"/>
  </r>
  <r>
    <s v="SP030"/>
    <s v="Twitter"/>
    <d v="2025-04-26T00:00:00"/>
    <x v="0"/>
    <s v="Text"/>
    <s v="Discover fresh beats on Spotify!"/>
    <n v="2411"/>
    <n v="194"/>
    <n v="168"/>
    <n v="26665"/>
    <n v="71699"/>
    <n v="197"/>
    <n v="0.10399399962497656"/>
    <n v="2773"/>
    <x v="0"/>
    <s v="#NowPlaying"/>
    <m/>
  </r>
  <r>
    <s v="SP031"/>
    <s v="Instagram"/>
    <d v="2025-01-01T00:00:00"/>
    <x v="1"/>
    <s v="Text"/>
    <s v="New music just dropped. Hit play!"/>
    <n v="4036"/>
    <n v="112"/>
    <n v="382"/>
    <n v="56284"/>
    <n v="29440"/>
    <n v="279"/>
    <n v="8.0484684812735408E-2"/>
    <n v="4530"/>
    <x v="0"/>
    <s v="#SoundtrackOfLife"/>
    <s v="#NowPlaying"/>
  </r>
  <r>
    <s v="SP032"/>
    <s v="Twitter"/>
    <d v="2024-05-07T00:00:00"/>
    <x v="1"/>
    <s v="Story"/>
    <s v="Explore the latest podcasts now."/>
    <n v="2776"/>
    <n v="307"/>
    <n v="178"/>
    <n v="43365"/>
    <n v="48408"/>
    <n v="138"/>
    <n v="7.519889311656866E-2"/>
    <n v="3261"/>
    <x v="0"/>
    <s v="#SoundtrackOfLife"/>
    <s v="#NowPlaying"/>
  </r>
  <r>
    <s v="SP033"/>
    <s v="Twitter"/>
    <d v="2024-10-09T00:00:00"/>
    <x v="1"/>
    <s v="Story"/>
    <s v="Discover fresh beats on Spotify!"/>
    <n v="4929"/>
    <n v="182"/>
    <n v="95"/>
    <n v="32181"/>
    <n v="31084"/>
    <n v="289"/>
    <n v="0.16177247444144061"/>
    <n v="5206"/>
    <x v="0"/>
    <s v="#DiscoverWeekly"/>
    <s v="#MusicForEveryone"/>
  </r>
  <r>
    <s v="SP034"/>
    <s v="Instagram"/>
    <d v="2025-01-09T00:00:00"/>
    <x v="1"/>
    <s v="Text"/>
    <s v="New music just dropped. Hit play!"/>
    <n v="1015"/>
    <n v="366"/>
    <n v="308"/>
    <n v="38127"/>
    <n v="63790"/>
    <n v="287"/>
    <n v="4.4299315445747112E-2"/>
    <n v="1689"/>
    <x v="0"/>
    <s v="#SoundtrackOfLife"/>
    <s v="#NowPlaying"/>
  </r>
  <r>
    <s v="SP035"/>
    <s v="Twitter"/>
    <d v="2025-05-08T00:00:00"/>
    <x v="0"/>
    <s v="Story"/>
    <s v="Your weekend playlist is waiting."/>
    <n v="3316"/>
    <n v="332"/>
    <n v="268"/>
    <n v="40095"/>
    <n v="36913"/>
    <n v="265"/>
    <n v="9.7668038408779148E-2"/>
    <n v="3916"/>
    <x v="0"/>
    <s v="#MusicForEveryone"/>
    <s v="#NowPlaying"/>
  </r>
  <r>
    <s v="SP036"/>
    <s v="Instagram"/>
    <d v="2024-05-04T00:00:00"/>
    <x v="1"/>
    <s v="Text"/>
    <s v="Wrapped is here! Relive your top tracks ðŸŽ§"/>
    <n v="2274"/>
    <n v="243"/>
    <n v="222"/>
    <n v="43066"/>
    <n v="59174"/>
    <n v="80"/>
    <n v="6.3600055728416843E-2"/>
    <n v="2739"/>
    <x v="1"/>
    <s v="#DiscoverWeekly"/>
    <m/>
  </r>
  <r>
    <s v="SP037"/>
    <s v="Twitter"/>
    <d v="2025-05-27T00:00:00"/>
    <x v="0"/>
    <s v="Story"/>
    <s v="Explore the latest podcasts now."/>
    <n v="4095"/>
    <n v="385"/>
    <n v="400"/>
    <n v="45300"/>
    <n v="31795"/>
    <n v="80"/>
    <n v="0.10772626931567329"/>
    <n v="4880"/>
    <x v="0"/>
    <s v="#MusicForEveryone"/>
    <s v="#NowPlaying"/>
  </r>
  <r>
    <s v="SP038"/>
    <s v="Instagram"/>
    <d v="2024-09-10T00:00:00"/>
    <x v="1"/>
    <s v="Story"/>
    <s v="New music just dropped. Hit play!"/>
    <n v="1230"/>
    <n v="309"/>
    <n v="207"/>
    <n v="44629"/>
    <n v="40699"/>
    <n v="195"/>
    <n v="3.9122543637545096E-2"/>
    <n v="1746"/>
    <x v="2"/>
    <s v="#NowPlaying"/>
    <m/>
  </r>
  <r>
    <s v="SP039"/>
    <s v="Instagram"/>
    <d v="2024-11-25T00:00:00"/>
    <x v="1"/>
    <s v="Text"/>
    <s v="From pop to podcasts, itâ€™s all here."/>
    <n v="1341"/>
    <n v="472"/>
    <n v="238"/>
    <n v="51386"/>
    <n v="51706"/>
    <n v="133"/>
    <n v="3.9913595142645857E-2"/>
    <n v="2051"/>
    <x v="1"/>
    <s v="#DiscoverWeekly"/>
    <m/>
  </r>
  <r>
    <s v="SP040"/>
    <s v="Twitter"/>
    <d v="2025-06-10T00:00:00"/>
    <x v="0"/>
    <s v="Text"/>
    <s v="Explore the latest podcasts now."/>
    <n v="3615"/>
    <n v="192"/>
    <n v="162"/>
    <n v="27492"/>
    <n v="35341"/>
    <n v="125"/>
    <n v="0.14436927106067218"/>
    <n v="3969"/>
    <x v="0"/>
    <s v="#NowPlaying"/>
    <m/>
  </r>
  <r>
    <s v="SP041"/>
    <s v="Instagram"/>
    <d v="2024-04-19T00:00:00"/>
    <x v="1"/>
    <s v="Text"/>
    <s v="New music just dropped. Hit play!"/>
    <n v="4001"/>
    <n v="353"/>
    <n v="129"/>
    <n v="41265"/>
    <n v="37279"/>
    <n v="275"/>
    <n v="0.10863928268508422"/>
    <n v="4483"/>
    <x v="0"/>
    <s v="#SoundtrackOfLife"/>
    <s v="#NowPlaying"/>
  </r>
  <r>
    <s v="SP042"/>
    <s v="Instagram"/>
    <d v="2025-01-26T00:00:00"/>
    <x v="0"/>
    <s v="Story"/>
    <s v="Whatâ€™s your vibe today? #SpotifyHits"/>
    <n v="3451"/>
    <n v="363"/>
    <n v="393"/>
    <n v="44853"/>
    <n v="69032"/>
    <n v="211"/>
    <n v="9.379528682585335E-2"/>
    <n v="4207"/>
    <x v="2"/>
    <s v="#NowPlaying"/>
    <m/>
  </r>
  <r>
    <s v="SP043"/>
    <s v="Instagram"/>
    <d v="2025-02-14T00:00:00"/>
    <x v="0"/>
    <s v="Text"/>
    <s v="Top trending tracks updated daily!"/>
    <n v="4891"/>
    <n v="450"/>
    <n v="387"/>
    <n v="48746"/>
    <n v="37312"/>
    <n v="154"/>
    <n v="0.11750707750379519"/>
    <n v="5728"/>
    <x v="0"/>
    <s v="#SoundtrackOfLife"/>
    <s v="#NowPlaying"/>
  </r>
  <r>
    <s v="SP044"/>
    <s v="Instagram"/>
    <d v="2024-09-06T00:00:00"/>
    <x v="1"/>
    <s v="Text"/>
    <s v="New music just dropped. Hit play!"/>
    <n v="1452"/>
    <n v="281"/>
    <n v="326"/>
    <n v="51556"/>
    <n v="62599"/>
    <n v="290"/>
    <n v="3.9937155714174881E-2"/>
    <n v="2059"/>
    <x v="1"/>
    <s v="#DiscoverWeekly"/>
    <m/>
  </r>
  <r>
    <s v="SP045"/>
    <s v="YouTube"/>
    <d v="2024-07-14T00:00:00"/>
    <x v="1"/>
    <s v="Text"/>
    <s v="Your weekend playlist is waiting."/>
    <n v="3806"/>
    <n v="114"/>
    <n v="278"/>
    <n v="36148"/>
    <n v="24209"/>
    <n v="201"/>
    <n v="0.11613367267898639"/>
    <n v="4198"/>
    <x v="1"/>
    <s v="#DiscoverWeekly"/>
    <s v="#SpotifyWrapped"/>
  </r>
  <r>
    <s v="SP046"/>
    <s v="Instagram"/>
    <d v="2024-02-12T00:00:00"/>
    <x v="1"/>
    <s v="Text"/>
    <s v="Explore the latest podcasts now."/>
    <n v="2923"/>
    <n v="330"/>
    <n v="250"/>
    <n v="23993"/>
    <n v="74590"/>
    <n v="92"/>
    <n v="0.14600091693410577"/>
    <n v="3503"/>
    <x v="1"/>
    <s v="#DiscoverWeekly"/>
    <m/>
  </r>
  <r>
    <s v="SP047"/>
    <s v="YouTube"/>
    <d v="2024-03-14T00:00:00"/>
    <x v="1"/>
    <s v="Reel"/>
    <s v="From pop to podcasts, itâ€™s all here."/>
    <n v="3361"/>
    <n v="188"/>
    <n v="358"/>
    <n v="39838"/>
    <n v="24536"/>
    <n v="120"/>
    <n v="9.8072192379135503E-2"/>
    <n v="3907"/>
    <x v="3"/>
    <s v="#DiscoverWeekly"/>
    <s v="#SoundtrackOfLife"/>
  </r>
  <r>
    <s v="SP048"/>
    <s v="Instagram"/>
    <d v="2025-02-05T00:00:00"/>
    <x v="0"/>
    <s v="Story"/>
    <s v="Music that moves youâ€”only on Spotify."/>
    <n v="3074"/>
    <n v="371"/>
    <n v="348"/>
    <n v="24104"/>
    <n v="57803"/>
    <n v="213"/>
    <n v="0.15735977431131762"/>
    <n v="3793"/>
    <x v="2"/>
    <s v="#NowPlaying"/>
    <m/>
  </r>
  <r>
    <s v="SP049"/>
    <s v="Twitter"/>
    <d v="2024-08-29T00:00:00"/>
    <x v="1"/>
    <s v="Story"/>
    <s v="Get into the groove with our new drop!"/>
    <n v="4276"/>
    <n v="227"/>
    <n v="223"/>
    <n v="43443"/>
    <n v="41005"/>
    <n v="191"/>
    <n v="0.1087862256289851"/>
    <n v="4726"/>
    <x v="0"/>
    <s v="#DiscoverWeekly"/>
    <s v="#MusicForEveryone"/>
  </r>
  <r>
    <s v="SP050"/>
    <s v="Twitter"/>
    <d v="2025-04-22T00:00:00"/>
    <x v="0"/>
    <s v="Text"/>
    <s v="Discover fresh beats on Spotify!"/>
    <n v="4401"/>
    <n v="421"/>
    <n v="216"/>
    <n v="24890"/>
    <n v="54361"/>
    <n v="148"/>
    <n v="0.20241060666934513"/>
    <n v="5038"/>
    <x v="0"/>
    <s v="#NowPlaying"/>
    <m/>
  </r>
  <r>
    <s v="SP051"/>
    <s v="YouTube"/>
    <d v="2024-05-13T00:00:00"/>
    <x v="1"/>
    <s v="Reel"/>
    <s v="Explore the latest podcasts now."/>
    <n v="4161"/>
    <n v="481"/>
    <n v="61"/>
    <n v="45884"/>
    <n v="48955"/>
    <n v="215"/>
    <n v="0.10249760265016128"/>
    <n v="4703"/>
    <x v="3"/>
    <s v="#DiscoverWeekly"/>
    <s v="#SoundtrackOfLife"/>
  </r>
  <r>
    <s v="SP052"/>
    <s v="Twitter"/>
    <d v="2024-09-04T00:00:00"/>
    <x v="1"/>
    <s v="Story"/>
    <s v="New music just dropped. Hit play!"/>
    <n v="2613"/>
    <n v="455"/>
    <n v="228"/>
    <n v="21645"/>
    <n v="61334"/>
    <n v="261"/>
    <n v="0.15227535227535227"/>
    <n v="3296"/>
    <x v="0"/>
    <s v="#DiscoverWeekly"/>
    <s v="#MusicForEveryone"/>
  </r>
  <r>
    <s v="SP053"/>
    <s v="Twitter"/>
    <d v="2024-08-12T00:00:00"/>
    <x v="1"/>
    <s v="Story"/>
    <s v="Whatâ€™s your vibe today? #SpotifyHits"/>
    <n v="2842"/>
    <n v="213"/>
    <n v="331"/>
    <n v="57660"/>
    <n v="68606"/>
    <n v="87"/>
    <n v="5.8723551855705859E-2"/>
    <n v="3386"/>
    <x v="0"/>
    <s v="#MusicForEveryone"/>
    <s v="#NowPlaying"/>
  </r>
  <r>
    <s v="SP054"/>
    <s v="Instagram"/>
    <d v="2025-03-06T00:00:00"/>
    <x v="2"/>
    <s v="Text"/>
    <s v="Get into the groove with our new drop!"/>
    <n v="4851"/>
    <n v="460"/>
    <n v="212"/>
    <n v="58075"/>
    <n v="59574"/>
    <n v="239"/>
    <n v="9.5101162290142052E-2"/>
    <n v="5523"/>
    <x v="1"/>
    <s v="#DiscoverWeekly"/>
    <m/>
  </r>
  <r>
    <s v="SP055"/>
    <s v="Twitter"/>
    <d v="2024-05-08T00:00:00"/>
    <x v="1"/>
    <s v="Text"/>
    <s v="Explore the latest podcasts now."/>
    <n v="1828"/>
    <n v="450"/>
    <n v="214"/>
    <n v="52115"/>
    <n v="19166"/>
    <n v="190"/>
    <n v="4.781732706514439E-2"/>
    <n v="2492"/>
    <x v="0"/>
    <s v="#NowPlaying"/>
    <m/>
  </r>
  <r>
    <s v="SP056"/>
    <s v="Instagram"/>
    <d v="2025-02-19T00:00:00"/>
    <x v="0"/>
    <s v="Story"/>
    <s v="From pop to podcasts, itâ€™s all here."/>
    <n v="2422"/>
    <n v="455"/>
    <n v="376"/>
    <n v="23428"/>
    <n v="46775"/>
    <n v="259"/>
    <n v="0.13885094758408742"/>
    <n v="3253"/>
    <x v="2"/>
    <s v="#NowPlaying"/>
    <m/>
  </r>
  <r>
    <s v="SP057"/>
    <s v="Instagram"/>
    <d v="2024-01-08T00:00:00"/>
    <x v="1"/>
    <s v="Text"/>
    <s v="Top trending tracks updated daily!"/>
    <n v="2683"/>
    <n v="405"/>
    <n v="223"/>
    <n v="31233"/>
    <n v="58106"/>
    <n v="291"/>
    <n v="0.10600966926007749"/>
    <n v="3311"/>
    <x v="1"/>
    <s v="#DiscoverWeekly"/>
    <m/>
  </r>
  <r>
    <s v="SP058"/>
    <s v="YouTube"/>
    <d v="2024-07-17T00:00:00"/>
    <x v="1"/>
    <s v="Text"/>
    <s v="Top trending tracks updated daily!"/>
    <n v="3135"/>
    <n v="110"/>
    <n v="215"/>
    <n v="39192"/>
    <n v="24744"/>
    <n v="177"/>
    <n v="8.8283323127168814E-2"/>
    <n v="3460"/>
    <x v="1"/>
    <s v="#DiscoverWeekly"/>
    <s v="#SpotifyWrapped"/>
  </r>
  <r>
    <s v="SP059"/>
    <s v="YouTube"/>
    <d v="2024-08-10T00:00:00"/>
    <x v="1"/>
    <s v="Text"/>
    <s v="From pop to podcasts, itâ€™s all here."/>
    <n v="1105"/>
    <n v="181"/>
    <n v="55"/>
    <n v="53581"/>
    <n v="74048"/>
    <n v="220"/>
    <n v="2.50275284149232E-2"/>
    <n v="1341"/>
    <x v="1"/>
    <s v="#DiscoverWeekly"/>
    <s v="#SpotifyWrapped"/>
  </r>
  <r>
    <s v="SP060"/>
    <s v="YouTube"/>
    <d v="2024-04-16T00:00:00"/>
    <x v="1"/>
    <s v="Text"/>
    <s v="Discover fresh beats on Spotify!"/>
    <n v="4674"/>
    <n v="326"/>
    <n v="62"/>
    <n v="45503"/>
    <n v="46814"/>
    <n v="116"/>
    <n v="0.11124541239039185"/>
    <n v="5062"/>
    <x v="1"/>
    <s v="#DiscoverWeekly"/>
    <s v="#SpotifyWrapped"/>
  </r>
  <r>
    <s v="SP061"/>
    <s v="YouTube"/>
    <d v="2024-01-01T00:00:00"/>
    <x v="1"/>
    <s v="Reel"/>
    <s v="Explore the latest podcasts now."/>
    <n v="3437"/>
    <n v="129"/>
    <n v="359"/>
    <n v="44558"/>
    <n v="30854"/>
    <n v="171"/>
    <n v="8.8087436599488311E-2"/>
    <n v="3925"/>
    <x v="3"/>
    <s v="#DiscoverWeekly"/>
    <s v="#SoundtrackOfLife"/>
  </r>
  <r>
    <s v="SP062"/>
    <s v="Twitter"/>
    <d v="2024-11-03T00:00:00"/>
    <x v="1"/>
    <s v="Story"/>
    <s v="Wrapped is here! Relive your top tracks ðŸŽ§"/>
    <n v="1959"/>
    <n v="316"/>
    <n v="82"/>
    <n v="54036"/>
    <n v="69015"/>
    <n v="182"/>
    <n v="4.3619068768968837E-2"/>
    <n v="2357"/>
    <x v="0"/>
    <s v="#MusicForEveryone"/>
    <s v="#NowPlaying"/>
  </r>
  <r>
    <s v="SP063"/>
    <s v="Twitter"/>
    <d v="2024-07-07T00:00:00"/>
    <x v="1"/>
    <s v="Text"/>
    <s v="New music just dropped. Hit play!"/>
    <n v="1035"/>
    <n v="137"/>
    <n v="184"/>
    <n v="37302"/>
    <n v="68953"/>
    <n v="237"/>
    <n v="3.6351938233874857E-2"/>
    <n v="1356"/>
    <x v="1"/>
    <s v="#SoundtrackOfLife"/>
    <m/>
  </r>
  <r>
    <s v="SP064"/>
    <s v="Twitter"/>
    <d v="2025-01-22T00:00:00"/>
    <x v="2"/>
    <s v="Story"/>
    <s v="New music just dropped. Hit play!"/>
    <n v="4478"/>
    <n v="101"/>
    <n v="121"/>
    <n v="51035"/>
    <n v="58207"/>
    <n v="205"/>
    <n v="9.2093661212893113E-2"/>
    <n v="4700"/>
    <x v="0"/>
    <s v="#MusicForEveryone"/>
    <s v="#NowPlaying"/>
  </r>
  <r>
    <s v="SP065"/>
    <s v="YouTube"/>
    <d v="2024-05-26T00:00:00"/>
    <x v="1"/>
    <s v="Text"/>
    <s v="From pop to podcasts, itâ€™s all here."/>
    <n v="1488"/>
    <n v="327"/>
    <n v="110"/>
    <n v="53805"/>
    <n v="30239"/>
    <n v="109"/>
    <n v="3.5777344113000653E-2"/>
    <n v="1925"/>
    <x v="1"/>
    <s v="#DiscoverWeekly"/>
    <s v="#SpotifyWrapped"/>
  </r>
  <r>
    <s v="SP066"/>
    <s v="Instagram"/>
    <d v="2025-04-16T00:00:00"/>
    <x v="0"/>
    <s v="Text"/>
    <s v="Wrapped is here! Relive your top tracks ðŸŽ§"/>
    <n v="4836"/>
    <n v="331"/>
    <n v="140"/>
    <n v="58792"/>
    <n v="47711"/>
    <n v="227"/>
    <n v="9.0267383317458164E-2"/>
    <n v="5307"/>
    <x v="0"/>
    <s v="#SoundtrackOfLife"/>
    <s v="#NowPlaying"/>
  </r>
  <r>
    <s v="SP067"/>
    <s v="YouTube"/>
    <d v="2024-04-02T00:00:00"/>
    <x v="1"/>
    <s v="Reel"/>
    <s v="Your weekend playlist is waiting."/>
    <n v="4563"/>
    <n v="488"/>
    <n v="356"/>
    <n v="30619"/>
    <n v="23328"/>
    <n v="267"/>
    <n v="0.17658969920637513"/>
    <n v="5407"/>
    <x v="3"/>
    <s v="#DiscoverWeekly"/>
    <s v="#SoundtrackOfLife"/>
  </r>
  <r>
    <s v="SP068"/>
    <s v="Twitter"/>
    <d v="2024-03-28T00:00:00"/>
    <x v="1"/>
    <s v="Text"/>
    <s v="Music that moves youâ€”only on Spotify."/>
    <n v="3276"/>
    <n v="421"/>
    <n v="114"/>
    <n v="20580"/>
    <n v="30324"/>
    <n v="221"/>
    <n v="0.18517978620019437"/>
    <n v="3811"/>
    <x v="1"/>
    <s v="#SoundtrackOfLife"/>
    <m/>
  </r>
  <r>
    <s v="SP069"/>
    <s v="Twitter"/>
    <d v="2024-12-17T00:00:00"/>
    <x v="1"/>
    <s v="Story"/>
    <s v="Music that moves youâ€”only on Spotify."/>
    <n v="1316"/>
    <n v="472"/>
    <n v="286"/>
    <n v="44692"/>
    <n v="53343"/>
    <n v="227"/>
    <n v="4.6406515707509172E-2"/>
    <n v="2074"/>
    <x v="0"/>
    <s v="#DiscoverWeekly"/>
    <s v="#MusicForEveryone"/>
  </r>
  <r>
    <s v="SP070"/>
    <s v="Twitter"/>
    <d v="2025-01-05T00:00:00"/>
    <x v="1"/>
    <s v="Text"/>
    <s v="Wrapped is here! Relive your top tracks ðŸŽ§"/>
    <n v="4811"/>
    <n v="473"/>
    <n v="254"/>
    <n v="51964"/>
    <n v="68795"/>
    <n v="107"/>
    <n v="0.10657378184897237"/>
    <n v="5538"/>
    <x v="0"/>
    <s v="#NowPlaying"/>
    <m/>
  </r>
  <r>
    <s v="SP071"/>
    <s v="Twitter"/>
    <d v="2024-01-11T00:00:00"/>
    <x v="1"/>
    <s v="Text"/>
    <s v="Whatâ€™s your vibe today? #SpotifyHits"/>
    <n v="4218"/>
    <n v="247"/>
    <n v="183"/>
    <n v="28914"/>
    <n v="18310"/>
    <n v="135"/>
    <n v="0.1607525766064882"/>
    <n v="4648"/>
    <x v="1"/>
    <s v="#SoundtrackOfLife"/>
    <m/>
  </r>
  <r>
    <s v="SP072"/>
    <s v="Instagram"/>
    <d v="2024-10-11T00:00:00"/>
    <x v="1"/>
    <s v="Text"/>
    <s v="From pop to podcasts, itâ€™s all here."/>
    <n v="1360"/>
    <n v="249"/>
    <n v="52"/>
    <n v="20368"/>
    <n v="42152"/>
    <n v="193"/>
    <n v="8.1549489395129612E-2"/>
    <n v="1661"/>
    <x v="1"/>
    <s v="#DiscoverWeekly"/>
    <m/>
  </r>
  <r>
    <s v="SP073"/>
    <s v="YouTube"/>
    <d v="2025-05-06T00:00:00"/>
    <x v="0"/>
    <s v="Reel"/>
    <s v="Discover fresh beats on Spotify!"/>
    <n v="1085"/>
    <n v="496"/>
    <n v="320"/>
    <n v="36528"/>
    <n v="38599"/>
    <n v="270"/>
    <n v="5.2042268944371438E-2"/>
    <n v="1901"/>
    <x v="3"/>
    <s v="#DiscoverWeekly"/>
    <s v="#SoundtrackOfLife"/>
  </r>
  <r>
    <s v="SP074"/>
    <s v="Twitter"/>
    <d v="2024-05-19T00:00:00"/>
    <x v="1"/>
    <s v="Story"/>
    <s v="Get into the groove with our new drop!"/>
    <n v="1763"/>
    <n v="206"/>
    <n v="187"/>
    <n v="53342"/>
    <n v="25095"/>
    <n v="88"/>
    <n v="4.0418432004799221E-2"/>
    <n v="2156"/>
    <x v="0"/>
    <s v="#DiscoverWeekly"/>
    <s v="#MusicForEveryone"/>
  </r>
  <r>
    <s v="SP075"/>
    <s v="Twitter"/>
    <d v="2024-01-22T00:00:00"/>
    <x v="1"/>
    <s v="Story"/>
    <s v="From pop to podcasts, itâ€™s all here."/>
    <n v="1554"/>
    <n v="455"/>
    <n v="158"/>
    <n v="41947"/>
    <n v="48578"/>
    <n v="101"/>
    <n v="5.1660428636136076E-2"/>
    <n v="2167"/>
    <x v="0"/>
    <s v="#SoundtrackOfLife"/>
    <s v="#NowPlaying"/>
  </r>
  <r>
    <s v="SP076"/>
    <s v="Instagram"/>
    <d v="2024-07-14T00:00:00"/>
    <x v="1"/>
    <s v="Text"/>
    <s v="Wrapped is here! Relive your top tracks ðŸŽ§"/>
    <n v="2464"/>
    <n v="401"/>
    <n v="78"/>
    <n v="38665"/>
    <n v="73593"/>
    <n v="207"/>
    <n v="7.611534979956032E-2"/>
    <n v="2943"/>
    <x v="1"/>
    <s v="#DiscoverWeekly"/>
    <m/>
  </r>
  <r>
    <s v="SP077"/>
    <s v="Twitter"/>
    <d v="2025-05-28T00:00:00"/>
    <x v="0"/>
    <s v="Text"/>
    <s v="From pop to podcasts, itâ€™s all here."/>
    <n v="2418"/>
    <n v="161"/>
    <n v="360"/>
    <n v="30589"/>
    <n v="41383"/>
    <n v="88"/>
    <n v="9.6080290300434801E-2"/>
    <n v="2939"/>
    <x v="0"/>
    <s v="#NowPlaying"/>
    <m/>
  </r>
  <r>
    <s v="SP078"/>
    <s v="Twitter"/>
    <d v="2025-01-21T00:00:00"/>
    <x v="2"/>
    <s v="Story"/>
    <s v="Discover fresh beats on Spotify!"/>
    <n v="2494"/>
    <n v="494"/>
    <n v="55"/>
    <n v="22580"/>
    <n v="22214"/>
    <n v="109"/>
    <n v="0.13476527900797167"/>
    <n v="3043"/>
    <x v="0"/>
    <s v="#MusicForEveryone"/>
    <s v="#NowPlaying"/>
  </r>
  <r>
    <s v="SP079"/>
    <s v="YouTube"/>
    <d v="2024-01-13T00:00:00"/>
    <x v="1"/>
    <s v="Reel"/>
    <s v="New music just dropped. Hit play!"/>
    <n v="4781"/>
    <n v="191"/>
    <n v="122"/>
    <n v="35535"/>
    <n v="50777"/>
    <n v="128"/>
    <n v="0.14335162515829464"/>
    <n v="5094"/>
    <x v="3"/>
    <s v="#DiscoverWeekly"/>
    <s v="#SoundtrackOfLife"/>
  </r>
  <r>
    <s v="SP080"/>
    <s v="Instagram"/>
    <d v="2025-06-17T00:00:00"/>
    <x v="0"/>
    <s v="Text"/>
    <s v="Music that moves youâ€”only on Spotify."/>
    <n v="2284"/>
    <n v="187"/>
    <n v="260"/>
    <n v="37400"/>
    <n v="65014"/>
    <n v="157"/>
    <n v="7.3021390374331557E-2"/>
    <n v="2731"/>
    <x v="0"/>
    <s v="#SoundtrackOfLife"/>
    <s v="#NowPlaying"/>
  </r>
  <r>
    <s v="SP081"/>
    <s v="Twitter"/>
    <d v="2025-03-07T00:00:00"/>
    <x v="2"/>
    <s v="Text"/>
    <s v="Get into the groove with our new drop!"/>
    <n v="4234"/>
    <n v="486"/>
    <n v="276"/>
    <n v="56623"/>
    <n v="41343"/>
    <n v="184"/>
    <n v="8.8232696960599044E-2"/>
    <n v="4996"/>
    <x v="1"/>
    <s v="#SoundtrackOfLife"/>
    <m/>
  </r>
  <r>
    <s v="SP082"/>
    <s v="Instagram"/>
    <d v="2024-08-26T00:00:00"/>
    <x v="1"/>
    <s v="Text"/>
    <s v="Your weekend playlist is waiting."/>
    <n v="2102"/>
    <n v="181"/>
    <n v="306"/>
    <n v="43650"/>
    <n v="50079"/>
    <n v="182"/>
    <n v="5.9312714776632303E-2"/>
    <n v="2589"/>
    <x v="1"/>
    <s v="#DiscoverWeekly"/>
    <m/>
  </r>
  <r>
    <s v="SP083"/>
    <s v="Twitter"/>
    <d v="2025-01-03T00:00:00"/>
    <x v="1"/>
    <s v="Story"/>
    <s v="Get into the groove with our new drop!"/>
    <n v="4845"/>
    <n v="158"/>
    <n v="84"/>
    <n v="34578"/>
    <n v="51480"/>
    <n v="180"/>
    <n v="0.1471166637746544"/>
    <n v="5087"/>
    <x v="0"/>
    <s v="#SoundtrackOfLife"/>
    <s v="#NowPlaying"/>
  </r>
  <r>
    <s v="SP084"/>
    <s v="Twitter"/>
    <d v="2024-08-03T00:00:00"/>
    <x v="1"/>
    <s v="Text"/>
    <s v="Your weekend playlist is waiting."/>
    <n v="4247"/>
    <n v="390"/>
    <n v="213"/>
    <n v="29785"/>
    <n v="57768"/>
    <n v="122"/>
    <n v="0.16283364109451065"/>
    <n v="4850"/>
    <x v="0"/>
    <s v="#NowPlaying"/>
    <m/>
  </r>
  <r>
    <s v="SP085"/>
    <s v="Instagram"/>
    <d v="2024-08-18T00:00:00"/>
    <x v="1"/>
    <s v="Text"/>
    <s v="Explore the latest podcasts now."/>
    <n v="2965"/>
    <n v="328"/>
    <n v="171"/>
    <n v="57685"/>
    <n v="67536"/>
    <n v="264"/>
    <n v="6.0050273034584378E-2"/>
    <n v="3464"/>
    <x v="0"/>
    <s v="#SoundtrackOfLife"/>
    <s v="#NowPlaying"/>
  </r>
  <r>
    <s v="SP086"/>
    <s v="Twitter"/>
    <d v="2025-05-14T00:00:00"/>
    <x v="0"/>
    <s v="Story"/>
    <s v="Wrapped is here! Relive your top tracks ðŸŽ§"/>
    <n v="1371"/>
    <n v="139"/>
    <n v="96"/>
    <n v="36140"/>
    <n v="39395"/>
    <n v="169"/>
    <n v="4.4438295517432211E-2"/>
    <n v="1606"/>
    <x v="0"/>
    <s v="#SoundtrackOfLife"/>
    <s v="#NowPlaying"/>
  </r>
  <r>
    <s v="SP087"/>
    <s v="Twitter"/>
    <d v="2024-04-23T00:00:00"/>
    <x v="1"/>
    <s v="Story"/>
    <s v="Discover fresh beats on Spotify!"/>
    <n v="2683"/>
    <n v="496"/>
    <n v="89"/>
    <n v="53435"/>
    <n v="30334"/>
    <n v="160"/>
    <n v="6.1158416768035934E-2"/>
    <n v="3268"/>
    <x v="0"/>
    <s v="#SoundtrackOfLife"/>
    <s v="#NowPlaying"/>
  </r>
  <r>
    <s v="SP088"/>
    <s v="Twitter"/>
    <d v="2025-02-17T00:00:00"/>
    <x v="0"/>
    <s v="Story"/>
    <s v="Whatâ€™s your vibe today? #SpotifyHits"/>
    <n v="4796"/>
    <n v="427"/>
    <n v="339"/>
    <n v="30752"/>
    <n v="33870"/>
    <n v="298"/>
    <n v="0.18086628511966701"/>
    <n v="5562"/>
    <x v="0"/>
    <s v="#SoundtrackOfLife"/>
    <s v="#NowPlaying"/>
  </r>
  <r>
    <s v="SP089"/>
    <s v="Instagram"/>
    <d v="2024-12-04T00:00:00"/>
    <x v="1"/>
    <s v="Text"/>
    <s v="Wrapped is here! Relive your top tracks ðŸŽ§"/>
    <n v="2601"/>
    <n v="336"/>
    <n v="260"/>
    <n v="32368"/>
    <n v="49028"/>
    <n v="120"/>
    <n v="9.8770390509144837E-2"/>
    <n v="3197"/>
    <x v="0"/>
    <s v="#SoundtrackOfLife"/>
    <s v="#NowPlaying"/>
  </r>
  <r>
    <s v="SP090"/>
    <s v="Twitter"/>
    <d v="2024-07-22T00:00:00"/>
    <x v="1"/>
    <s v="Story"/>
    <s v="Wrapped is here! Relive your top tracks ðŸŽ§"/>
    <n v="3336"/>
    <n v="229"/>
    <n v="337"/>
    <n v="22117"/>
    <n v="26205"/>
    <n v="160"/>
    <n v="0.17642537414658407"/>
    <n v="3902"/>
    <x v="0"/>
    <s v="#MusicForEveryone"/>
    <s v="#NowPlaying"/>
  </r>
  <r>
    <s v="SP091"/>
    <s v="Twitter"/>
    <d v="2025-04-27T00:00:00"/>
    <x v="0"/>
    <s v="Text"/>
    <s v="Explore the latest podcasts now."/>
    <n v="1165"/>
    <n v="294"/>
    <n v="163"/>
    <n v="20659"/>
    <n v="45926"/>
    <n v="111"/>
    <n v="7.8512996756861422E-2"/>
    <n v="1622"/>
    <x v="1"/>
    <s v="#SoundtrackOfLife"/>
    <m/>
  </r>
  <r>
    <s v="SP092"/>
    <s v="YouTube"/>
    <d v="2024-03-25T00:00:00"/>
    <x v="1"/>
    <s v="Reel"/>
    <s v="Explore the latest podcasts now."/>
    <n v="1948"/>
    <n v="155"/>
    <n v="315"/>
    <n v="30321"/>
    <n v="57121"/>
    <n v="82"/>
    <n v="7.974671020085089E-2"/>
    <n v="2418"/>
    <x v="3"/>
    <s v="#DiscoverWeekly"/>
    <s v="#SoundtrackOfLife"/>
  </r>
  <r>
    <s v="SP093"/>
    <s v="Instagram"/>
    <d v="2024-02-29T00:00:00"/>
    <x v="1"/>
    <s v="Text"/>
    <s v="From pop to podcasts, itâ€™s all here."/>
    <n v="1100"/>
    <n v="229"/>
    <n v="312"/>
    <n v="25641"/>
    <n v="34601"/>
    <n v="169"/>
    <n v="6.3999063999063993E-2"/>
    <n v="1641"/>
    <x v="1"/>
    <s v="#DiscoverWeekly"/>
    <m/>
  </r>
  <r>
    <s v="SP094"/>
    <s v="Twitter"/>
    <d v="2024-11-13T00:00:00"/>
    <x v="1"/>
    <s v="Story"/>
    <s v="Top trending tracks updated daily!"/>
    <n v="4628"/>
    <n v="257"/>
    <n v="397"/>
    <n v="36686"/>
    <n v="54683"/>
    <n v="98"/>
    <n v="0.1439786294499264"/>
    <n v="5282"/>
    <x v="0"/>
    <s v="#SoundtrackOfLife"/>
    <s v="#NowPlaying"/>
  </r>
  <r>
    <s v="SP095"/>
    <s v="Instagram"/>
    <d v="2024-03-22T00:00:00"/>
    <x v="1"/>
    <s v="Story"/>
    <s v="Discover fresh beats on Spotify!"/>
    <n v="2319"/>
    <n v="484"/>
    <n v="193"/>
    <n v="21202"/>
    <n v="18091"/>
    <n v="241"/>
    <n v="0.14130742382794076"/>
    <n v="2996"/>
    <x v="2"/>
    <s v="#NowPlaying"/>
    <m/>
  </r>
  <r>
    <s v="SP096"/>
    <s v="Twitter"/>
    <d v="2024-03-16T00:00:00"/>
    <x v="1"/>
    <s v="Story"/>
    <s v="Wrapped is here! Relive your top tracks ðŸŽ§"/>
    <n v="2895"/>
    <n v="292"/>
    <n v="90"/>
    <n v="24223"/>
    <n v="54626"/>
    <n v="114"/>
    <n v="0.13528464682326713"/>
    <n v="3277"/>
    <x v="0"/>
    <s v="#SoundtrackOfLife"/>
    <s v="#NowPlaying"/>
  </r>
  <r>
    <s v="SP097"/>
    <s v="Instagram"/>
    <d v="2024-01-26T00:00:00"/>
    <x v="1"/>
    <s v="Text"/>
    <s v="Whatâ€™s your vibe today? #SpotifyHits"/>
    <n v="3878"/>
    <n v="431"/>
    <n v="97"/>
    <n v="41763"/>
    <n v="29729"/>
    <n v="191"/>
    <n v="0.10550008380623997"/>
    <n v="4406"/>
    <x v="1"/>
    <s v="#DiscoverWeekly"/>
    <m/>
  </r>
  <r>
    <s v="SP098"/>
    <s v="Twitter"/>
    <d v="2024-03-15T00:00:00"/>
    <x v="1"/>
    <s v="Story"/>
    <s v="Get into the groove with our new drop!"/>
    <n v="4969"/>
    <n v="433"/>
    <n v="237"/>
    <n v="59552"/>
    <n v="23885"/>
    <n v="157"/>
    <n v="9.4690354648038683E-2"/>
    <n v="5639"/>
    <x v="0"/>
    <s v="#DiscoverWeekly"/>
    <s v="#MusicForEveryone"/>
  </r>
  <r>
    <s v="SP099"/>
    <s v="Twitter"/>
    <d v="2024-10-15T00:00:00"/>
    <x v="1"/>
    <s v="Text"/>
    <s v="Wrapped is here! Relive your top tracks ðŸŽ§"/>
    <n v="1984"/>
    <n v="481"/>
    <n v="356"/>
    <n v="40681"/>
    <n v="63111"/>
    <n v="258"/>
    <n v="6.934441139598338E-2"/>
    <n v="2821"/>
    <x v="0"/>
    <s v="#NowPlaying"/>
    <m/>
  </r>
  <r>
    <s v="SP100"/>
    <s v="Instagram"/>
    <d v="2024-07-21T00:00:00"/>
    <x v="1"/>
    <s v="Text"/>
    <s v="Discover fresh beats on Spotify!"/>
    <n v="3004"/>
    <n v="415"/>
    <n v="218"/>
    <n v="36090"/>
    <n v="37073"/>
    <n v="181"/>
    <n v="0.10077583818232197"/>
    <n v="3637"/>
    <x v="1"/>
    <s v="#DiscoverWeekly"/>
    <m/>
  </r>
  <r>
    <s v="SP101"/>
    <s v="Twitter"/>
    <d v="2024-10-12T00:00:00"/>
    <x v="1"/>
    <s v="Text"/>
    <s v="Get into the groove with our new drop!"/>
    <n v="3169"/>
    <n v="386"/>
    <n v="175"/>
    <n v="45012"/>
    <n v="38508"/>
    <n v="218"/>
    <n v="8.2866791077934779E-2"/>
    <n v="3730"/>
    <x v="0"/>
    <s v="#NowPlaying"/>
    <m/>
  </r>
  <r>
    <s v="SP102"/>
    <s v="Twitter"/>
    <d v="2024-10-26T00:00:00"/>
    <x v="1"/>
    <s v="Text"/>
    <s v="Discover fresh beats on Spotify!"/>
    <n v="3036"/>
    <n v="293"/>
    <n v="115"/>
    <n v="23776"/>
    <n v="46386"/>
    <n v="282"/>
    <n v="0.14485195154777927"/>
    <n v="3444"/>
    <x v="0"/>
    <s v="#NowPlaying"/>
    <m/>
  </r>
  <r>
    <s v="SP103"/>
    <s v="Instagram"/>
    <d v="2024-02-14T00:00:00"/>
    <x v="1"/>
    <s v="Text"/>
    <s v="Music that moves youâ€”only on Spotify."/>
    <n v="1830"/>
    <n v="112"/>
    <n v="181"/>
    <n v="31870"/>
    <n v="55742"/>
    <n v="263"/>
    <n v="6.6614370881706936E-2"/>
    <n v="2123"/>
    <x v="0"/>
    <s v="#SoundtrackOfLife"/>
    <s v="#NowPlaying"/>
  </r>
  <r>
    <s v="SP104"/>
    <s v="Twitter"/>
    <d v="2024-05-01T00:00:00"/>
    <x v="1"/>
    <s v="Story"/>
    <s v="Whatâ€™s your vibe today? #SpotifyHits"/>
    <n v="2587"/>
    <n v="447"/>
    <n v="183"/>
    <n v="36266"/>
    <n v="32877"/>
    <n v="132"/>
    <n v="8.8705674736667947E-2"/>
    <n v="3217"/>
    <x v="0"/>
    <s v="#DiscoverWeekly"/>
    <s v="#MusicForEveryone"/>
  </r>
  <r>
    <s v="SP105"/>
    <s v="Twitter"/>
    <d v="2024-09-18T00:00:00"/>
    <x v="1"/>
    <s v="Text"/>
    <s v="Discover fresh beats on Spotify!"/>
    <n v="2878"/>
    <n v="265"/>
    <n v="91"/>
    <n v="52090"/>
    <n v="28924"/>
    <n v="133"/>
    <n v="6.2084853138798232E-2"/>
    <n v="3234"/>
    <x v="0"/>
    <s v="#NowPlaying"/>
    <m/>
  </r>
  <r>
    <s v="SP106"/>
    <s v="Twitter"/>
    <d v="2025-01-20T00:00:00"/>
    <x v="2"/>
    <s v="Story"/>
    <s v="New music just dropped. Hit play!"/>
    <n v="4619"/>
    <n v="272"/>
    <n v="57"/>
    <n v="21334"/>
    <n v="46292"/>
    <n v="91"/>
    <n v="0.23193025217961938"/>
    <n v="4948"/>
    <x v="0"/>
    <s v="#SoundtrackOfLife"/>
    <s v="#NowPlaying"/>
  </r>
  <r>
    <s v="SP107"/>
    <s v="Twitter"/>
    <d v="2025-01-13T00:00:00"/>
    <x v="1"/>
    <s v="Text"/>
    <s v="Music that moves youâ€”only on Spotify."/>
    <n v="4090"/>
    <n v="209"/>
    <n v="278"/>
    <n v="52853"/>
    <n v="57084"/>
    <n v="102"/>
    <n v="8.6598679355949518E-2"/>
    <n v="4577"/>
    <x v="1"/>
    <s v="#SoundtrackOfLife"/>
    <m/>
  </r>
  <r>
    <s v="SP108"/>
    <s v="YouTube"/>
    <d v="2024-09-07T00:00:00"/>
    <x v="0"/>
    <s v="Reel"/>
    <s v="Music that moves youâ€”only on Spotify."/>
    <n v="3882"/>
    <n v="342"/>
    <n v="374"/>
    <n v="41991"/>
    <n v="48554"/>
    <n v="118"/>
    <n v="0.10949965468790931"/>
    <n v="4598"/>
    <x v="3"/>
    <s v="#DiscoverWeekly"/>
    <s v="#SoundtrackOfLife"/>
  </r>
  <r>
    <s v="SP109"/>
    <s v="Instagram"/>
    <d v="2024-11-21T00:00:00"/>
    <x v="1"/>
    <s v="Text"/>
    <s v="Music that moves youâ€”only on Spotify."/>
    <n v="4581"/>
    <n v="181"/>
    <n v="112"/>
    <n v="35221"/>
    <n v="28797"/>
    <n v="164"/>
    <n v="0.13838335084182732"/>
    <n v="4874"/>
    <x v="0"/>
    <s v="#SoundtrackOfLife"/>
    <s v="#NowPlaying"/>
  </r>
  <r>
    <s v="SP110"/>
    <s v="Instagram"/>
    <d v="2024-06-26T00:00:00"/>
    <x v="1"/>
    <s v="Text"/>
    <s v="New music just dropped. Hit play!"/>
    <n v="3253"/>
    <n v="483"/>
    <n v="336"/>
    <n v="25397"/>
    <n v="51485"/>
    <n v="131"/>
    <n v="0.16033389770445328"/>
    <n v="4072"/>
    <x v="1"/>
    <s v="#DiscoverWeekly"/>
    <m/>
  </r>
  <r>
    <s v="SP111"/>
    <s v="YouTube"/>
    <d v="2024-07-20T00:00:00"/>
    <x v="0"/>
    <s v="Reel"/>
    <s v="Music that moves youâ€”only on Spotify."/>
    <n v="4955"/>
    <n v="299"/>
    <n v="345"/>
    <n v="33644"/>
    <n v="43547"/>
    <n v="194"/>
    <n v="0.16641897515158721"/>
    <n v="5599"/>
    <x v="3"/>
    <s v="#DiscoverWeekly"/>
    <s v="#SoundtrackOfLife"/>
  </r>
  <r>
    <s v="SP112"/>
    <s v="Instagram"/>
    <d v="2025-02-16T00:00:00"/>
    <x v="0"/>
    <s v="Text"/>
    <s v="Your weekend playlist is waiting."/>
    <n v="1333"/>
    <n v="286"/>
    <n v="298"/>
    <n v="36174"/>
    <n v="34517"/>
    <n v="170"/>
    <n v="5.2993862995521647E-2"/>
    <n v="1917"/>
    <x v="0"/>
    <s v="#SoundtrackOfLife"/>
    <s v="#NowPlaying"/>
  </r>
  <r>
    <s v="SP113"/>
    <s v="Instagram"/>
    <d v="2024-09-09T00:00:00"/>
    <x v="1"/>
    <s v="Text"/>
    <s v="New music just dropped. Hit play!"/>
    <n v="1616"/>
    <n v="360"/>
    <n v="180"/>
    <n v="54342"/>
    <n v="18796"/>
    <n v="282"/>
    <n v="3.9674653122814763E-2"/>
    <n v="2156"/>
    <x v="0"/>
    <s v="#SoundtrackOfLife"/>
    <s v="#NowPlaying"/>
  </r>
  <r>
    <s v="SP114"/>
    <s v="Twitter"/>
    <d v="2024-07-16T00:00:00"/>
    <x v="1"/>
    <s v="Text"/>
    <s v="Top trending tracks updated daily!"/>
    <n v="1803"/>
    <n v="273"/>
    <n v="287"/>
    <n v="46176"/>
    <n v="25488"/>
    <n v="141"/>
    <n v="5.1173769923769923E-2"/>
    <n v="2363"/>
    <x v="0"/>
    <s v="#NowPlaying"/>
    <m/>
  </r>
  <r>
    <s v="SP115"/>
    <s v="Instagram"/>
    <d v="2025-04-15T00:00:00"/>
    <x v="0"/>
    <s v="Text"/>
    <s v="Explore the latest podcasts now."/>
    <n v="4177"/>
    <n v="489"/>
    <n v="331"/>
    <n v="57451"/>
    <n v="73793"/>
    <n v="251"/>
    <n v="8.6978468608031198E-2"/>
    <n v="4997"/>
    <x v="1"/>
    <s v="#DiscoverWeekly"/>
    <m/>
  </r>
  <r>
    <s v="SP116"/>
    <s v="Instagram"/>
    <d v="2025-05-04T00:00:00"/>
    <x v="0"/>
    <s v="Story"/>
    <s v="New music just dropped. Hit play!"/>
    <n v="1311"/>
    <n v="181"/>
    <n v="361"/>
    <n v="37148"/>
    <n v="44875"/>
    <n v="245"/>
    <n v="4.9881554861634543E-2"/>
    <n v="1853"/>
    <x v="2"/>
    <s v="#NowPlaying"/>
    <m/>
  </r>
  <r>
    <s v="SP117"/>
    <s v="Instagram"/>
    <d v="2024-02-18T00:00:00"/>
    <x v="1"/>
    <s v="Story"/>
    <s v="From pop to podcasts, itâ€™s all here."/>
    <n v="1516"/>
    <n v="215"/>
    <n v="332"/>
    <n v="58981"/>
    <n v="36118"/>
    <n v="211"/>
    <n v="3.4977365592309385E-2"/>
    <n v="2063"/>
    <x v="2"/>
    <s v="#NowPlaying"/>
    <m/>
  </r>
  <r>
    <s v="SP118"/>
    <s v="Twitter"/>
    <d v="2024-05-16T00:00:00"/>
    <x v="1"/>
    <s v="Story"/>
    <s v="Music that moves youâ€”only on Spotify."/>
    <n v="2023"/>
    <n v="124"/>
    <n v="99"/>
    <n v="54524"/>
    <n v="34790"/>
    <n v="195"/>
    <n v="4.1192869195216787E-2"/>
    <n v="2246"/>
    <x v="0"/>
    <s v="#DiscoverWeekly"/>
    <s v="#MusicForEveryone"/>
  </r>
  <r>
    <s v="SP119"/>
    <s v="Twitter"/>
    <d v="2025-05-29T00:00:00"/>
    <x v="0"/>
    <s v="Story"/>
    <s v="Music that moves youâ€”only on Spotify."/>
    <n v="2134"/>
    <n v="322"/>
    <n v="114"/>
    <n v="44338"/>
    <n v="52165"/>
    <n v="176"/>
    <n v="5.7963823356939871E-2"/>
    <n v="2570"/>
    <x v="0"/>
    <s v="#MusicForEveryone"/>
    <s v="#NowPlaying"/>
  </r>
  <r>
    <s v="SP120"/>
    <s v="Instagram"/>
    <d v="2025-01-17T00:00:00"/>
    <x v="1"/>
    <s v="Text"/>
    <s v="Top trending tracks updated daily!"/>
    <n v="2266"/>
    <n v="126"/>
    <n v="140"/>
    <n v="53759"/>
    <n v="46834"/>
    <n v="277"/>
    <n v="4.7099090384865788E-2"/>
    <n v="2532"/>
    <x v="1"/>
    <s v="#DiscoverWeekly"/>
    <m/>
  </r>
  <r>
    <s v="SP121"/>
    <s v="Instagram"/>
    <d v="2025-04-30T00:00:00"/>
    <x v="0"/>
    <s v="Story"/>
    <s v="New music just dropped. Hit play!"/>
    <n v="3916"/>
    <n v="459"/>
    <n v="229"/>
    <n v="48989"/>
    <n v="39768"/>
    <n v="200"/>
    <n v="9.3980281287635997E-2"/>
    <n v="4604"/>
    <x v="2"/>
    <s v="#NowPlaying"/>
    <m/>
  </r>
  <r>
    <s v="SP122"/>
    <s v="Twitter"/>
    <d v="2024-02-24T00:00:00"/>
    <x v="1"/>
    <s v="Story"/>
    <s v="Music that moves youâ€”only on Spotify."/>
    <n v="1022"/>
    <n v="463"/>
    <n v="360"/>
    <n v="51468"/>
    <n v="24279"/>
    <n v="230"/>
    <n v="3.5847516903707161E-2"/>
    <n v="1845"/>
    <x v="0"/>
    <s v="#DiscoverWeekly"/>
    <s v="#MusicForEveryone"/>
  </r>
  <r>
    <s v="SP123"/>
    <s v="YouTube"/>
    <d v="2024-05-12T00:00:00"/>
    <x v="1"/>
    <s v="Text"/>
    <s v="From pop to podcasts, itâ€™s all here."/>
    <n v="2911"/>
    <n v="467"/>
    <n v="94"/>
    <n v="59083"/>
    <n v="49762"/>
    <n v="236"/>
    <n v="5.8764788517847777E-2"/>
    <n v="3472"/>
    <x v="1"/>
    <s v="#DiscoverWeekly"/>
    <s v="#SpotifyWrapped"/>
  </r>
  <r>
    <s v="SP124"/>
    <s v="Twitter"/>
    <d v="2024-05-09T00:00:00"/>
    <x v="1"/>
    <s v="Story"/>
    <s v="New music just dropped. Hit play!"/>
    <n v="3277"/>
    <n v="423"/>
    <n v="259"/>
    <n v="46328"/>
    <n v="44293"/>
    <n v="299"/>
    <n v="8.5455879813503707E-2"/>
    <n v="3959"/>
    <x v="0"/>
    <s v="#SoundtrackOfLife"/>
    <s v="#NowPlaying"/>
  </r>
  <r>
    <s v="SP125"/>
    <s v="Twitter"/>
    <d v="2024-11-06T00:00:00"/>
    <x v="1"/>
    <s v="Text"/>
    <s v="From pop to podcasts, itâ€™s all here."/>
    <n v="2956"/>
    <n v="381"/>
    <n v="345"/>
    <n v="33347"/>
    <n v="22558"/>
    <n v="173"/>
    <n v="0.11041472996071611"/>
    <n v="3682"/>
    <x v="0"/>
    <s v="#NowPlaying"/>
    <m/>
  </r>
  <r>
    <s v="SP126"/>
    <s v="Twitter"/>
    <d v="2024-01-04T00:00:00"/>
    <x v="1"/>
    <s v="Story"/>
    <s v="Whatâ€™s your vibe today? #SpotifyHits"/>
    <n v="3208"/>
    <n v="476"/>
    <n v="277"/>
    <n v="56072"/>
    <n v="21061"/>
    <n v="113"/>
    <n v="7.064131830503638E-2"/>
    <n v="3961"/>
    <x v="0"/>
    <s v="#MusicForEveryone"/>
    <s v="#NowPlaying"/>
  </r>
  <r>
    <s v="SP127"/>
    <s v="Twitter"/>
    <d v="2024-01-28T00:00:00"/>
    <x v="1"/>
    <s v="Text"/>
    <s v="Music that moves youâ€”only on Spotify."/>
    <n v="1456"/>
    <n v="265"/>
    <n v="137"/>
    <n v="53485"/>
    <n v="59729"/>
    <n v="145"/>
    <n v="3.4738711788351875E-2"/>
    <n v="1858"/>
    <x v="1"/>
    <s v="#SoundtrackOfLife"/>
    <m/>
  </r>
  <r>
    <s v="SP128"/>
    <s v="Instagram"/>
    <d v="2024-02-22T00:00:00"/>
    <x v="1"/>
    <s v="Text"/>
    <s v="New music just dropped. Hit play!"/>
    <n v="1902"/>
    <n v="394"/>
    <n v="279"/>
    <n v="24615"/>
    <n v="51330"/>
    <n v="176"/>
    <n v="0.10461100954702417"/>
    <n v="2575"/>
    <x v="0"/>
    <s v="#SoundtrackOfLife"/>
    <s v="#NowPlaying"/>
  </r>
  <r>
    <s v="SP129"/>
    <s v="Twitter"/>
    <d v="2025-07-01T00:00:00"/>
    <x v="0"/>
    <s v="Story"/>
    <s v="Explore the latest podcasts now."/>
    <n v="3219"/>
    <n v="424"/>
    <n v="267"/>
    <n v="48879"/>
    <n v="37691"/>
    <n v="224"/>
    <n v="7.9993453221219743E-2"/>
    <n v="3910"/>
    <x v="0"/>
    <s v="#DiscoverWeekly"/>
    <s v="#MusicForEveryone"/>
  </r>
  <r>
    <s v="SP130"/>
    <s v="YouTube"/>
    <d v="2024-01-10T00:00:00"/>
    <x v="1"/>
    <s v="Text"/>
    <s v="Explore the latest podcasts now."/>
    <n v="1261"/>
    <n v="190"/>
    <n v="233"/>
    <n v="59888"/>
    <n v="51449"/>
    <n v="205"/>
    <n v="2.811915575741384E-2"/>
    <n v="1684"/>
    <x v="1"/>
    <s v="#DiscoverWeekly"/>
    <s v="#SpotifyWrapped"/>
  </r>
  <r>
    <s v="SP131"/>
    <s v="Twitter"/>
    <d v="2025-03-20T00:00:00"/>
    <x v="2"/>
    <s v="Text"/>
    <s v="Your weekend playlist is waiting."/>
    <n v="1564"/>
    <n v="362"/>
    <n v="371"/>
    <n v="42075"/>
    <n v="66659"/>
    <n v="205"/>
    <n v="5.4592988710635768E-2"/>
    <n v="2297"/>
    <x v="1"/>
    <s v="#SoundtrackOfLife"/>
    <m/>
  </r>
  <r>
    <s v="SP132"/>
    <s v="Twitter"/>
    <d v="2024-09-28T00:00:00"/>
    <x v="1"/>
    <s v="Text"/>
    <s v="Whatâ€™s your vibe today? #SpotifyHits"/>
    <n v="4006"/>
    <n v="420"/>
    <n v="194"/>
    <n v="49964"/>
    <n v="20685"/>
    <n v="148"/>
    <n v="9.2466575934672959E-2"/>
    <n v="4620"/>
    <x v="0"/>
    <s v="#NowPlaying"/>
    <m/>
  </r>
  <r>
    <s v="SP133"/>
    <s v="YouTube"/>
    <d v="2024-01-27T00:00:00"/>
    <x v="1"/>
    <s v="Text"/>
    <s v="Your weekend playlist is waiting."/>
    <n v="1976"/>
    <n v="262"/>
    <n v="218"/>
    <n v="51696"/>
    <n v="44846"/>
    <n v="139"/>
    <n v="4.7508511296812134E-2"/>
    <n v="2456"/>
    <x v="1"/>
    <s v="#DiscoverWeekly"/>
    <s v="#SpotifyWrapped"/>
  </r>
  <r>
    <s v="SP134"/>
    <s v="Twitter"/>
    <d v="2025-05-15T00:00:00"/>
    <x v="0"/>
    <s v="Text"/>
    <s v="New music just dropped. Hit play!"/>
    <n v="1583"/>
    <n v="433"/>
    <n v="249"/>
    <n v="30256"/>
    <n v="47066"/>
    <n v="196"/>
    <n v="7.4861184558434685E-2"/>
    <n v="2265"/>
    <x v="0"/>
    <s v="#NowPlaying"/>
    <m/>
  </r>
  <r>
    <s v="SP135"/>
    <s v="Twitter"/>
    <d v="2024-10-04T00:00:00"/>
    <x v="1"/>
    <s v="Story"/>
    <s v="Explore the latest podcasts now."/>
    <n v="2870"/>
    <n v="380"/>
    <n v="393"/>
    <n v="37621"/>
    <n v="71794"/>
    <n v="127"/>
    <n v="9.6834214933149046E-2"/>
    <n v="3643"/>
    <x v="0"/>
    <s v="#MusicForEveryone"/>
    <s v="#NowPlaying"/>
  </r>
  <r>
    <s v="SP136"/>
    <s v="Twitter"/>
    <d v="2024-11-19T00:00:00"/>
    <x v="1"/>
    <s v="Text"/>
    <s v="Top trending tracks updated daily!"/>
    <n v="3728"/>
    <n v="271"/>
    <n v="275"/>
    <n v="22827"/>
    <n v="37034"/>
    <n v="199"/>
    <n v="0.18723441538528934"/>
    <n v="4274"/>
    <x v="0"/>
    <s v="#NowPlaying"/>
    <m/>
  </r>
  <r>
    <s v="SP137"/>
    <s v="Twitter"/>
    <d v="2024-04-05T00:00:00"/>
    <x v="1"/>
    <s v="Story"/>
    <s v="New music just dropped. Hit play!"/>
    <n v="4965"/>
    <n v="175"/>
    <n v="307"/>
    <n v="32793"/>
    <n v="43412"/>
    <n v="296"/>
    <n v="0.16610252187966945"/>
    <n v="5447"/>
    <x v="0"/>
    <s v="#SoundtrackOfLife"/>
    <s v="#NowPlaying"/>
  </r>
  <r>
    <s v="SP138"/>
    <s v="Twitter"/>
    <d v="2024-11-28T00:00:00"/>
    <x v="1"/>
    <s v="Story"/>
    <s v="New music just dropped. Hit play!"/>
    <n v="1131"/>
    <n v="100"/>
    <n v="116"/>
    <n v="48437"/>
    <n v="72704"/>
    <n v="236"/>
    <n v="2.7809319322005904E-2"/>
    <n v="1347"/>
    <x v="0"/>
    <s v="#DiscoverWeekly"/>
    <s v="#MusicForEveryone"/>
  </r>
  <r>
    <s v="SP139"/>
    <s v="Twitter"/>
    <d v="2025-03-09T00:00:00"/>
    <x v="0"/>
    <s v="Text"/>
    <s v="Your weekend playlist is waiting."/>
    <n v="2754"/>
    <n v="215"/>
    <n v="264"/>
    <n v="27762"/>
    <n v="70203"/>
    <n v="289"/>
    <n v="0.11645414595490239"/>
    <n v="3233"/>
    <x v="0"/>
    <s v="#NowPlaying"/>
    <m/>
  </r>
  <r>
    <s v="SP140"/>
    <s v="Twitter"/>
    <d v="2024-08-27T00:00:00"/>
    <x v="1"/>
    <s v="Story"/>
    <s v="New music just dropped. Hit play!"/>
    <n v="1856"/>
    <n v="357"/>
    <n v="348"/>
    <n v="29428"/>
    <n v="70206"/>
    <n v="236"/>
    <n v="8.702596166915863E-2"/>
    <n v="2561"/>
    <x v="0"/>
    <s v="#MusicForEveryone"/>
    <s v="#NowPlaying"/>
  </r>
  <r>
    <s v="SP141"/>
    <s v="YouTube"/>
    <d v="2024-10-01T00:00:00"/>
    <x v="0"/>
    <s v="Reel"/>
    <s v="Explore the latest podcasts now."/>
    <n v="3543"/>
    <n v="334"/>
    <n v="218"/>
    <n v="58007"/>
    <n v="24792"/>
    <n v="273"/>
    <n v="7.0594928198320889E-2"/>
    <n v="4095"/>
    <x v="3"/>
    <s v="#DiscoverWeekly"/>
    <s v="#SoundtrackOfLife"/>
  </r>
  <r>
    <s v="SP142"/>
    <s v="Instagram"/>
    <d v="2024-12-21T00:00:00"/>
    <x v="2"/>
    <s v="Story"/>
    <s v="New music just dropped. Hit play!"/>
    <n v="4563"/>
    <n v="398"/>
    <n v="163"/>
    <n v="43679"/>
    <n v="48760"/>
    <n v="92"/>
    <n v="0.11731037798484398"/>
    <n v="5124"/>
    <x v="2"/>
    <s v="#NowPlaying"/>
    <m/>
  </r>
  <r>
    <s v="SP143"/>
    <s v="Instagram"/>
    <d v="2024-06-17T00:00:00"/>
    <x v="1"/>
    <s v="Text"/>
    <s v="Discover fresh beats on Spotify!"/>
    <n v="4283"/>
    <n v="471"/>
    <n v="156"/>
    <n v="53004"/>
    <n v="25678"/>
    <n v="105"/>
    <n v="9.2634518149573616E-2"/>
    <n v="4910"/>
    <x v="1"/>
    <s v="#DiscoverWeekly"/>
    <m/>
  </r>
  <r>
    <s v="SP144"/>
    <s v="Instagram"/>
    <d v="2025-02-14T00:00:00"/>
    <x v="0"/>
    <s v="Text"/>
    <s v="Discover fresh beats on Spotify!"/>
    <n v="2329"/>
    <n v="373"/>
    <n v="291"/>
    <n v="49577"/>
    <n v="28002"/>
    <n v="82"/>
    <n v="6.0370736430199488E-2"/>
    <n v="2993"/>
    <x v="0"/>
    <s v="#SoundtrackOfLife"/>
    <s v="#NowPlaying"/>
  </r>
  <r>
    <s v="SP145"/>
    <s v="Twitter"/>
    <d v="2025-05-28T00:00:00"/>
    <x v="0"/>
    <s v="Story"/>
    <s v="Top trending tracks updated daily!"/>
    <n v="4287"/>
    <n v="273"/>
    <n v="122"/>
    <n v="40792"/>
    <n v="23878"/>
    <n v="277"/>
    <n v="0.11477740733477153"/>
    <n v="4682"/>
    <x v="0"/>
    <s v="#MusicForEveryone"/>
    <s v="#NowPlaying"/>
  </r>
  <r>
    <s v="SP146"/>
    <s v="Instagram"/>
    <d v="2025-05-22T00:00:00"/>
    <x v="0"/>
    <s v="Text"/>
    <s v="Discover fresh beats on Spotify!"/>
    <n v="2633"/>
    <n v="318"/>
    <n v="380"/>
    <n v="40869"/>
    <n v="64474"/>
    <n v="245"/>
    <n v="8.1504318676747664E-2"/>
    <n v="3331"/>
    <x v="1"/>
    <s v="#DiscoverWeekly"/>
    <m/>
  </r>
  <r>
    <s v="SP147"/>
    <s v="Twitter"/>
    <d v="2024-01-21T00:00:00"/>
    <x v="1"/>
    <s v="Story"/>
    <s v="Discover fresh beats on Spotify!"/>
    <n v="2383"/>
    <n v="136"/>
    <n v="302"/>
    <n v="39187"/>
    <n v="22133"/>
    <n v="208"/>
    <n v="7.1988159338556151E-2"/>
    <n v="2821"/>
    <x v="0"/>
    <s v="#MusicForEveryone"/>
    <s v="#NowPlaying"/>
  </r>
  <r>
    <s v="SP148"/>
    <s v="Twitter"/>
    <d v="2025-02-08T00:00:00"/>
    <x v="2"/>
    <s v="Story"/>
    <s v="Your weekend playlist is waiting."/>
    <n v="4752"/>
    <n v="334"/>
    <n v="56"/>
    <n v="48017"/>
    <n v="55534"/>
    <n v="270"/>
    <n v="0.10708707332819627"/>
    <n v="5142"/>
    <x v="0"/>
    <s v="#DiscoverWeekly"/>
    <s v="#MusicForEveryone"/>
  </r>
  <r>
    <s v="SP149"/>
    <s v="Twitter"/>
    <d v="2025-04-13T00:00:00"/>
    <x v="0"/>
    <s v="Text"/>
    <s v="From pop to podcasts, itâ€™s all here."/>
    <n v="3890"/>
    <n v="408"/>
    <n v="338"/>
    <n v="56994"/>
    <n v="32621"/>
    <n v="286"/>
    <n v="8.1341895638137346E-2"/>
    <n v="4636"/>
    <x v="1"/>
    <s v="#SoundtrackOfLife"/>
    <m/>
  </r>
  <r>
    <s v="SP150"/>
    <s v="Twitter"/>
    <d v="2024-05-30T00:00:00"/>
    <x v="1"/>
    <s v="Story"/>
    <s v="Your weekend playlist is waiting."/>
    <n v="2311"/>
    <n v="207"/>
    <n v="363"/>
    <n v="30349"/>
    <n v="32925"/>
    <n v="88"/>
    <n v="9.4928992718046723E-2"/>
    <n v="2881"/>
    <x v="0"/>
    <s v="#MusicForEveryone"/>
    <s v="#NowPlaying"/>
  </r>
  <r>
    <s v="SP151"/>
    <s v="Instagram"/>
    <d v="2024-08-12T00:00:00"/>
    <x v="1"/>
    <s v="Story"/>
    <s v="Discover fresh beats on Spotify!"/>
    <n v="2962"/>
    <n v="400"/>
    <n v="280"/>
    <n v="52508"/>
    <n v="58329"/>
    <n v="219"/>
    <n v="6.9360859297630834E-2"/>
    <n v="3642"/>
    <x v="2"/>
    <s v="#NowPlaying"/>
    <m/>
  </r>
  <r>
    <s v="SP152"/>
    <s v="Instagram"/>
    <d v="2024-09-27T00:00:00"/>
    <x v="1"/>
    <s v="Text"/>
    <s v="Discover fresh beats on Spotify!"/>
    <n v="3118"/>
    <n v="116"/>
    <n v="195"/>
    <n v="37100"/>
    <n v="62629"/>
    <n v="272"/>
    <n v="9.2425876010781671E-2"/>
    <n v="3429"/>
    <x v="1"/>
    <s v="#DiscoverWeekly"/>
    <m/>
  </r>
  <r>
    <s v="SP153"/>
    <s v="Twitter"/>
    <d v="2025-06-11T00:00:00"/>
    <x v="0"/>
    <s v="Story"/>
    <s v="Explore the latest podcasts now."/>
    <n v="3805"/>
    <n v="453"/>
    <n v="63"/>
    <n v="52395"/>
    <n v="72934"/>
    <n v="87"/>
    <n v="8.2469701307376658E-2"/>
    <n v="4321"/>
    <x v="0"/>
    <s v="#DiscoverWeekly"/>
    <s v="#MusicForEveryone"/>
  </r>
  <r>
    <s v="SP154"/>
    <s v="Instagram"/>
    <d v="2024-11-19T00:00:00"/>
    <x v="1"/>
    <s v="Text"/>
    <s v="Whatâ€™s your vibe today? #SpotifyHits"/>
    <n v="2525"/>
    <n v="272"/>
    <n v="294"/>
    <n v="51875"/>
    <n v="24732"/>
    <n v="92"/>
    <n v="5.9585542168674697E-2"/>
    <n v="3091"/>
    <x v="1"/>
    <s v="#DiscoverWeekly"/>
    <m/>
  </r>
  <r>
    <s v="SP155"/>
    <s v="Instagram"/>
    <d v="2024-04-25T00:00:00"/>
    <x v="1"/>
    <s v="Text"/>
    <s v="Music that moves youâ€”only on Spotify."/>
    <n v="3563"/>
    <n v="483"/>
    <n v="227"/>
    <n v="41085"/>
    <n v="26393"/>
    <n v="236"/>
    <n v="0.10400389436534015"/>
    <n v="4273"/>
    <x v="0"/>
    <s v="#SoundtrackOfLife"/>
    <s v="#NowPlaying"/>
  </r>
  <r>
    <s v="SP156"/>
    <s v="YouTube"/>
    <d v="2024-09-03T00:00:00"/>
    <x v="0"/>
    <s v="Reel"/>
    <s v="Whatâ€™s your vibe today? #SpotifyHits"/>
    <n v="1437"/>
    <n v="494"/>
    <n v="129"/>
    <n v="53048"/>
    <n v="44090"/>
    <n v="230"/>
    <n v="3.8832755240536872E-2"/>
    <n v="2060"/>
    <x v="3"/>
    <s v="#DiscoverWeekly"/>
    <s v="#SoundtrackOfLife"/>
  </r>
  <r>
    <s v="SP157"/>
    <s v="YouTube"/>
    <d v="2025-03-02T00:00:00"/>
    <x v="2"/>
    <s v="Text"/>
    <s v="From pop to podcasts, itâ€™s all here."/>
    <n v="4425"/>
    <n v="185"/>
    <n v="162"/>
    <n v="24610"/>
    <n v="21342"/>
    <n v="158"/>
    <n v="0.19390491670052823"/>
    <n v="4772"/>
    <x v="1"/>
    <s v="#DiscoverWeekly"/>
    <s v="#SpotifyWrapped"/>
  </r>
  <r>
    <s v="SP158"/>
    <s v="Twitter"/>
    <d v="2025-03-21T00:00:00"/>
    <x v="0"/>
    <s v="Story"/>
    <s v="New music just dropped. Hit play!"/>
    <n v="4609"/>
    <n v="427"/>
    <n v="395"/>
    <n v="33698"/>
    <n v="29259"/>
    <n v="216"/>
    <n v="0.16116683482699271"/>
    <n v="5431"/>
    <x v="0"/>
    <s v="#DiscoverWeekly"/>
    <s v="#MusicForEveryone"/>
  </r>
  <r>
    <s v="SP159"/>
    <s v="Instagram"/>
    <d v="2024-04-12T00:00:00"/>
    <x v="1"/>
    <s v="Story"/>
    <s v="Get into the groove with our new drop!"/>
    <n v="1558"/>
    <n v="352"/>
    <n v="202"/>
    <n v="25405"/>
    <n v="69941"/>
    <n v="219"/>
    <n v="8.3133241487896081E-2"/>
    <n v="2112"/>
    <x v="2"/>
    <s v="#NowPlaying"/>
    <m/>
  </r>
  <r>
    <s v="SP160"/>
    <s v="YouTube"/>
    <d v="2024-02-08T00:00:00"/>
    <x v="1"/>
    <s v="Reel"/>
    <s v="Top trending tracks updated daily!"/>
    <n v="1889"/>
    <n v="298"/>
    <n v="122"/>
    <n v="46225"/>
    <n v="74305"/>
    <n v="293"/>
    <n v="4.9951325040562468E-2"/>
    <n v="2309"/>
    <x v="3"/>
    <s v="#DiscoverWeekly"/>
    <s v="#SoundtrackOfLife"/>
  </r>
  <r>
    <s v="SP161"/>
    <s v="Instagram"/>
    <d v="2025-05-26T00:00:00"/>
    <x v="0"/>
    <s v="Text"/>
    <s v="Discover fresh beats on Spotify!"/>
    <n v="3086"/>
    <n v="148"/>
    <n v="310"/>
    <n v="22824"/>
    <n v="58103"/>
    <n v="275"/>
    <n v="0.1552751489660007"/>
    <n v="3544"/>
    <x v="1"/>
    <s v="#DiscoverWeekly"/>
    <m/>
  </r>
  <r>
    <s v="SP162"/>
    <s v="Instagram"/>
    <d v="2024-11-14T00:00:00"/>
    <x v="1"/>
    <s v="Text"/>
    <s v="Music that moves youâ€”only on Spotify."/>
    <n v="2422"/>
    <n v="318"/>
    <n v="118"/>
    <n v="25386"/>
    <n v="20873"/>
    <n v="100"/>
    <n v="0.11258173796580792"/>
    <n v="2858"/>
    <x v="0"/>
    <s v="#SoundtrackOfLife"/>
    <s v="#NowPlaying"/>
  </r>
  <r>
    <s v="SP163"/>
    <s v="YouTube"/>
    <d v="2024-08-09T00:00:00"/>
    <x v="0"/>
    <s v="Reel"/>
    <s v="From pop to podcasts, itâ€™s all here."/>
    <n v="3414"/>
    <n v="154"/>
    <n v="204"/>
    <n v="34146"/>
    <n v="44633"/>
    <n v="256"/>
    <n v="0.11046681895390383"/>
    <n v="3772"/>
    <x v="3"/>
    <s v="#DiscoverWeekly"/>
    <s v="#SoundtrackOfLife"/>
  </r>
  <r>
    <s v="SP164"/>
    <s v="Instagram"/>
    <d v="2025-06-27T00:00:00"/>
    <x v="0"/>
    <s v="Story"/>
    <s v="Whatâ€™s your vibe today? #SpotifyHits"/>
    <n v="1342"/>
    <n v="332"/>
    <n v="163"/>
    <n v="51712"/>
    <n v="57922"/>
    <n v="168"/>
    <n v="3.5523669554455448E-2"/>
    <n v="1837"/>
    <x v="2"/>
    <s v="#NowPlaying"/>
    <m/>
  </r>
  <r>
    <s v="SP165"/>
    <s v="Instagram"/>
    <d v="2024-05-08T00:00:00"/>
    <x v="1"/>
    <s v="Story"/>
    <s v="Music that moves youâ€”only on Spotify."/>
    <n v="2414"/>
    <n v="220"/>
    <n v="280"/>
    <n v="27355"/>
    <n v="50562"/>
    <n v="258"/>
    <n v="0.10652531529884847"/>
    <n v="2914"/>
    <x v="2"/>
    <s v="#NowPlaying"/>
    <m/>
  </r>
  <r>
    <s v="SP166"/>
    <s v="Instagram"/>
    <d v="2024-04-05T00:00:00"/>
    <x v="1"/>
    <s v="Text"/>
    <s v="New music just dropped. Hit play!"/>
    <n v="4383"/>
    <n v="352"/>
    <n v="176"/>
    <n v="53239"/>
    <n v="34168"/>
    <n v="288"/>
    <n v="9.2244407295403744E-2"/>
    <n v="4911"/>
    <x v="1"/>
    <s v="#DiscoverWeekly"/>
    <m/>
  </r>
  <r>
    <s v="SP167"/>
    <s v="YouTube"/>
    <d v="2025-01-27T00:00:00"/>
    <x v="1"/>
    <s v="Text"/>
    <s v="Wrapped is here! Relive your top tracks ðŸŽ§"/>
    <n v="4294"/>
    <n v="423"/>
    <n v="93"/>
    <n v="29828"/>
    <n v="73144"/>
    <n v="298"/>
    <n v="0.1612578785034196"/>
    <n v="4810"/>
    <x v="1"/>
    <s v="#DiscoverWeekly"/>
    <s v="#SpotifyWrapped"/>
  </r>
  <r>
    <s v="SP168"/>
    <s v="Instagram"/>
    <d v="2024-04-03T00:00:00"/>
    <x v="1"/>
    <s v="Text"/>
    <s v="Top trending tracks updated daily!"/>
    <n v="2762"/>
    <n v="339"/>
    <n v="323"/>
    <n v="33757"/>
    <n v="68511"/>
    <n v="121"/>
    <n v="0.10143081434961637"/>
    <n v="3424"/>
    <x v="0"/>
    <s v="#SoundtrackOfLife"/>
    <s v="#NowPlaying"/>
  </r>
  <r>
    <s v="SP169"/>
    <s v="YouTube"/>
    <d v="2025-01-03T00:00:00"/>
    <x v="1"/>
    <s v="Text"/>
    <s v="New music just dropped. Hit play!"/>
    <n v="3782"/>
    <n v="484"/>
    <n v="144"/>
    <n v="52172"/>
    <n v="59386"/>
    <n v="175"/>
    <n v="8.4528099363643333E-2"/>
    <n v="4410"/>
    <x v="1"/>
    <s v="#DiscoverWeekly"/>
    <s v="#SpotifyWrapped"/>
  </r>
  <r>
    <s v="SP170"/>
    <s v="Twitter"/>
    <d v="2024-11-23T00:00:00"/>
    <x v="1"/>
    <s v="Text"/>
    <s v="New music just dropped. Hit play!"/>
    <n v="4318"/>
    <n v="371"/>
    <n v="329"/>
    <n v="32347"/>
    <n v="68956"/>
    <n v="259"/>
    <n v="0.15513030574705536"/>
    <n v="5018"/>
    <x v="1"/>
    <s v="#SoundtrackOfLife"/>
    <m/>
  </r>
  <r>
    <s v="SP171"/>
    <s v="Instagram"/>
    <d v="2024-09-01T00:00:00"/>
    <x v="1"/>
    <s v="Story"/>
    <s v="Wrapped is here! Relive your top tracks ðŸŽ§"/>
    <n v="2335"/>
    <n v="150"/>
    <n v="75"/>
    <n v="26114"/>
    <n v="57549"/>
    <n v="135"/>
    <n v="9.8031707130274953E-2"/>
    <n v="2560"/>
    <x v="2"/>
    <s v="#NowPlaying"/>
    <m/>
  </r>
  <r>
    <s v="SP172"/>
    <s v="YouTube"/>
    <d v="2024-04-18T00:00:00"/>
    <x v="1"/>
    <s v="Text"/>
    <s v="Explore the latest podcasts now."/>
    <n v="4023"/>
    <n v="293"/>
    <n v="91"/>
    <n v="26795"/>
    <n v="28924"/>
    <n v="278"/>
    <n v="0.16447098339242397"/>
    <n v="4407"/>
    <x v="1"/>
    <s v="#DiscoverWeekly"/>
    <s v="#SpotifyWrapped"/>
  </r>
  <r>
    <s v="SP173"/>
    <s v="Instagram"/>
    <d v="2024-06-04T00:00:00"/>
    <x v="1"/>
    <s v="Text"/>
    <s v="Get into the groove with our new drop!"/>
    <n v="3948"/>
    <n v="151"/>
    <n v="249"/>
    <n v="43147"/>
    <n v="63136"/>
    <n v="230"/>
    <n v="0.10077178019329269"/>
    <n v="4348"/>
    <x v="1"/>
    <s v="#DiscoverWeekly"/>
    <m/>
  </r>
  <r>
    <s v="SP174"/>
    <s v="YouTube"/>
    <d v="2025-04-02T00:00:00"/>
    <x v="0"/>
    <s v="Text"/>
    <s v="Wrapped is here! Relive your top tracks ðŸŽ§"/>
    <n v="4598"/>
    <n v="455"/>
    <n v="378"/>
    <n v="52952"/>
    <n v="58504"/>
    <n v="269"/>
    <n v="0.10256458679558846"/>
    <n v="5431"/>
    <x v="1"/>
    <s v="#DiscoverWeekly"/>
    <s v="#SpotifyWrapped"/>
  </r>
  <r>
    <s v="SP175"/>
    <s v="Twitter"/>
    <d v="2025-04-01T00:00:00"/>
    <x v="0"/>
    <s v="Story"/>
    <s v="Music that moves youâ€”only on Spotify."/>
    <n v="2665"/>
    <n v="143"/>
    <n v="315"/>
    <n v="54808"/>
    <n v="29818"/>
    <n v="98"/>
    <n v="5.6980732739746021E-2"/>
    <n v="3123"/>
    <x v="0"/>
    <s v="#DiscoverWeekly"/>
    <s v="#MusicForEveryone"/>
  </r>
  <r>
    <s v="SP176"/>
    <s v="Instagram"/>
    <d v="2024-07-02T00:00:00"/>
    <x v="1"/>
    <s v="Text"/>
    <s v="Top trending tracks updated daily!"/>
    <n v="3469"/>
    <n v="371"/>
    <n v="76"/>
    <n v="46493"/>
    <n v="26906"/>
    <n v="150"/>
    <n v="8.4227733207149463E-2"/>
    <n v="3916"/>
    <x v="0"/>
    <s v="#SoundtrackOfLife"/>
    <s v="#NowPlaying"/>
  </r>
  <r>
    <s v="SP177"/>
    <s v="Twitter"/>
    <d v="2024-11-10T00:00:00"/>
    <x v="1"/>
    <s v="Text"/>
    <s v="Explore the latest podcasts now."/>
    <n v="4823"/>
    <n v="489"/>
    <n v="302"/>
    <n v="32470"/>
    <n v="31861"/>
    <n v="178"/>
    <n v="0.1728980597474592"/>
    <n v="5614"/>
    <x v="1"/>
    <s v="#SoundtrackOfLife"/>
    <m/>
  </r>
  <r>
    <s v="SP178"/>
    <s v="Instagram"/>
    <d v="2024-12-14T00:00:00"/>
    <x v="2"/>
    <s v="Story"/>
    <s v="From pop to podcasts, itâ€™s all here."/>
    <n v="3812"/>
    <n v="321"/>
    <n v="289"/>
    <n v="59838"/>
    <n v="36337"/>
    <n v="161"/>
    <n v="7.3899528727564417E-2"/>
    <n v="4422"/>
    <x v="2"/>
    <s v="#NowPlaying"/>
    <m/>
  </r>
  <r>
    <s v="SP179"/>
    <s v="Twitter"/>
    <d v="2024-11-19T00:00:00"/>
    <x v="1"/>
    <s v="Text"/>
    <s v="Explore the latest podcasts now."/>
    <n v="2387"/>
    <n v="353"/>
    <n v="78"/>
    <n v="39745"/>
    <n v="69226"/>
    <n v="208"/>
    <n v="7.090200025160398E-2"/>
    <n v="2818"/>
    <x v="1"/>
    <s v="#SoundtrackOfLife"/>
    <m/>
  </r>
  <r>
    <s v="SP180"/>
    <s v="Twitter"/>
    <d v="2025-04-30T00:00:00"/>
    <x v="0"/>
    <s v="Story"/>
    <s v="Wrapped is here! Relive your top tracks ðŸŽ§"/>
    <n v="3929"/>
    <n v="275"/>
    <n v="330"/>
    <n v="58329"/>
    <n v="33196"/>
    <n v="85"/>
    <n v="7.7731488624869283E-2"/>
    <n v="4534"/>
    <x v="0"/>
    <s v="#MusicForEveryone"/>
    <s v="#NowPlaying"/>
  </r>
  <r>
    <s v="SP181"/>
    <s v="Twitter"/>
    <d v="2024-03-19T00:00:00"/>
    <x v="1"/>
    <s v="Text"/>
    <s v="From pop to podcasts, itâ€™s all here."/>
    <n v="2191"/>
    <n v="288"/>
    <n v="83"/>
    <n v="59606"/>
    <n v="24765"/>
    <n v="281"/>
    <n v="4.2982250109049422E-2"/>
    <n v="2562"/>
    <x v="1"/>
    <s v="#SoundtrackOfLife"/>
    <m/>
  </r>
  <r>
    <s v="SP182"/>
    <s v="Instagram"/>
    <d v="2024-03-19T00:00:00"/>
    <x v="1"/>
    <s v="Text"/>
    <s v="From pop to podcasts, itâ€™s all here."/>
    <n v="2878"/>
    <n v="278"/>
    <n v="255"/>
    <n v="47235"/>
    <n v="57922"/>
    <n v="112"/>
    <n v="7.2213401079707848E-2"/>
    <n v="3411"/>
    <x v="0"/>
    <s v="#SoundtrackOfLife"/>
    <s v="#NowPlaying"/>
  </r>
  <r>
    <s v="SP183"/>
    <s v="Twitter"/>
    <d v="2024-07-23T00:00:00"/>
    <x v="1"/>
    <s v="Text"/>
    <s v="Top trending tracks updated daily!"/>
    <n v="3204"/>
    <n v="398"/>
    <n v="85"/>
    <n v="22020"/>
    <n v="58353"/>
    <n v="286"/>
    <n v="0.16743869209809265"/>
    <n v="3687"/>
    <x v="1"/>
    <s v="#SoundtrackOfLife"/>
    <m/>
  </r>
  <r>
    <s v="SP184"/>
    <s v="Twitter"/>
    <d v="2024-07-13T00:00:00"/>
    <x v="1"/>
    <s v="Story"/>
    <s v="Get into the groove with our new drop!"/>
    <n v="2408"/>
    <n v="323"/>
    <n v="251"/>
    <n v="47599"/>
    <n v="35543"/>
    <n v="287"/>
    <n v="6.2648374965860634E-2"/>
    <n v="2982"/>
    <x v="0"/>
    <s v="#MusicForEveryone"/>
    <s v="#NowPlaying"/>
  </r>
  <r>
    <s v="SP185"/>
    <s v="YouTube"/>
    <d v="2025-04-22T00:00:00"/>
    <x v="0"/>
    <s v="Reel"/>
    <s v="New music just dropped. Hit play!"/>
    <n v="2733"/>
    <n v="297"/>
    <n v="235"/>
    <n v="37980"/>
    <n v="33058"/>
    <n v="219"/>
    <n v="8.5966298051606105E-2"/>
    <n v="3265"/>
    <x v="3"/>
    <s v="#DiscoverWeekly"/>
    <s v="#SoundtrackOfLife"/>
  </r>
  <r>
    <s v="SP186"/>
    <s v="Twitter"/>
    <d v="2024-06-16T00:00:00"/>
    <x v="1"/>
    <s v="Story"/>
    <s v="Explore the latest podcasts now."/>
    <n v="4618"/>
    <n v="312"/>
    <n v="254"/>
    <n v="22571"/>
    <n v="29453"/>
    <n v="197"/>
    <n v="0.22967524699836073"/>
    <n v="5184"/>
    <x v="0"/>
    <s v="#MusicForEveryone"/>
    <s v="#NowPlaying"/>
  </r>
  <r>
    <s v="SP187"/>
    <s v="YouTube"/>
    <d v="2025-05-18T00:00:00"/>
    <x v="0"/>
    <s v="Reel"/>
    <s v="Wrapped is here! Relive your top tracks ðŸŽ§"/>
    <n v="4210"/>
    <n v="319"/>
    <n v="350"/>
    <n v="37762"/>
    <n v="55162"/>
    <n v="204"/>
    <n v="0.12920396165457337"/>
    <n v="4879"/>
    <x v="3"/>
    <s v="#DiscoverWeekly"/>
    <s v="#SoundtrackOfLife"/>
  </r>
  <r>
    <s v="SP188"/>
    <s v="Instagram"/>
    <d v="2025-06-06T00:00:00"/>
    <x v="0"/>
    <s v="Text"/>
    <s v="Wrapped is here! Relive your top tracks ðŸŽ§"/>
    <n v="3987"/>
    <n v="171"/>
    <n v="274"/>
    <n v="45122"/>
    <n v="65431"/>
    <n v="168"/>
    <n v="9.8222596516111871E-2"/>
    <n v="4432"/>
    <x v="1"/>
    <s v="#DiscoverWeekly"/>
    <m/>
  </r>
  <r>
    <s v="SP189"/>
    <s v="YouTube"/>
    <d v="2025-02-20T00:00:00"/>
    <x v="0"/>
    <s v="Reel"/>
    <s v="Get into the groove with our new drop!"/>
    <n v="4957"/>
    <n v="262"/>
    <n v="365"/>
    <n v="49199"/>
    <n v="40314"/>
    <n v="216"/>
    <n v="0.11349824183418362"/>
    <n v="5584"/>
    <x v="3"/>
    <s v="#DiscoverWeekly"/>
    <s v="#SoundtrackOfLife"/>
  </r>
  <r>
    <s v="SP190"/>
    <s v="Instagram"/>
    <d v="2025-01-16T00:00:00"/>
    <x v="2"/>
    <s v="Text"/>
    <s v="Music that moves youâ€”only on Spotify."/>
    <n v="2605"/>
    <n v="282"/>
    <n v="148"/>
    <n v="32201"/>
    <n v="49583"/>
    <n v="241"/>
    <n v="9.4251731312692155E-2"/>
    <n v="3035"/>
    <x v="0"/>
    <s v="#SoundtrackOfLife"/>
    <s v="#NowPlaying"/>
  </r>
  <r>
    <s v="SP191"/>
    <s v="YouTube"/>
    <d v="2024-02-24T00:00:00"/>
    <x v="1"/>
    <s v="Reel"/>
    <s v="Discover fresh beats on Spotify!"/>
    <n v="4221"/>
    <n v="307"/>
    <n v="58"/>
    <n v="45080"/>
    <n v="37214"/>
    <n v="240"/>
    <n v="0.10173025732031943"/>
    <n v="4586"/>
    <x v="3"/>
    <s v="#DiscoverWeekly"/>
    <s v="#SoundtrackOfLife"/>
  </r>
  <r>
    <s v="SP192"/>
    <s v="Twitter"/>
    <d v="2024-09-16T00:00:00"/>
    <x v="1"/>
    <s v="Story"/>
    <s v="Whatâ€™s your vibe today? #SpotifyHits"/>
    <n v="4422"/>
    <n v="434"/>
    <n v="156"/>
    <n v="56165"/>
    <n v="52431"/>
    <n v="173"/>
    <n v="8.9237069349238848E-2"/>
    <n v="5012"/>
    <x v="0"/>
    <s v="#DiscoverWeekly"/>
    <s v="#MusicForEveryone"/>
  </r>
  <r>
    <s v="SP193"/>
    <s v="YouTube"/>
    <d v="2024-06-04T00:00:00"/>
    <x v="1"/>
    <s v="Reel"/>
    <s v="Wrapped is here! Relive your top tracks ðŸŽ§"/>
    <n v="1211"/>
    <n v="431"/>
    <n v="83"/>
    <n v="26532"/>
    <n v="47305"/>
    <n v="232"/>
    <n v="6.5015829941203071E-2"/>
    <n v="1725"/>
    <x v="3"/>
    <s v="#DiscoverWeekly"/>
    <s v="#SoundtrackOfLife"/>
  </r>
  <r>
    <s v="SP194"/>
    <s v="Twitter"/>
    <d v="2024-05-10T00:00:00"/>
    <x v="1"/>
    <s v="Story"/>
    <s v="Explore the latest podcasts now."/>
    <n v="2784"/>
    <n v="111"/>
    <n v="399"/>
    <n v="58366"/>
    <n v="69512"/>
    <n v="269"/>
    <n v="5.6436966727204191E-2"/>
    <n v="3294"/>
    <x v="0"/>
    <s v="#MusicForEveryone"/>
    <s v="#NowPlaying"/>
  </r>
  <r>
    <s v="SP195"/>
    <s v="YouTube"/>
    <d v="2024-01-14T00:00:00"/>
    <x v="1"/>
    <s v="Text"/>
    <s v="New music just dropped. Hit play!"/>
    <n v="3634"/>
    <n v="280"/>
    <n v="399"/>
    <n v="40256"/>
    <n v="52605"/>
    <n v="213"/>
    <n v="0.10713930842607314"/>
    <n v="4313"/>
    <x v="1"/>
    <s v="#DiscoverWeekly"/>
    <s v="#SpotifyWrapped"/>
  </r>
  <r>
    <s v="SP196"/>
    <s v="Instagram"/>
    <d v="2025-01-12T00:00:00"/>
    <x v="2"/>
    <s v="Text"/>
    <s v="From pop to podcasts, itâ€™s all here."/>
    <n v="1771"/>
    <n v="487"/>
    <n v="272"/>
    <n v="48810"/>
    <n v="48084"/>
    <n v="272"/>
    <n v="5.1833640647408315E-2"/>
    <n v="2530"/>
    <x v="0"/>
    <s v="#SoundtrackOfLife"/>
    <s v="#NowPlaying"/>
  </r>
  <r>
    <s v="SP197"/>
    <s v="YouTube"/>
    <d v="2024-12-08T00:00:00"/>
    <x v="1"/>
    <s v="Text"/>
    <s v="Top trending tracks updated daily!"/>
    <n v="1424"/>
    <n v="396"/>
    <n v="312"/>
    <n v="59517"/>
    <n v="46102"/>
    <n v="239"/>
    <n v="3.5821698002251455E-2"/>
    <n v="2132"/>
    <x v="1"/>
    <s v="#DiscoverWeekly"/>
    <s v="#SpotifyWrapped"/>
  </r>
  <r>
    <s v="SP198"/>
    <s v="Twitter"/>
    <d v="2025-02-01T00:00:00"/>
    <x v="2"/>
    <s v="Story"/>
    <s v="Top trending tracks updated daily!"/>
    <n v="1079"/>
    <n v="265"/>
    <n v="190"/>
    <n v="43786"/>
    <n v="72428"/>
    <n v="222"/>
    <n v="3.5034029141734799E-2"/>
    <n v="1534"/>
    <x v="0"/>
    <s v="#SoundtrackOfLife"/>
    <s v="#NowPlaying"/>
  </r>
  <r>
    <s v="SP199"/>
    <s v="Twitter"/>
    <d v="2024-07-11T00:00:00"/>
    <x v="1"/>
    <s v="Story"/>
    <s v="Get into the groove with our new drop!"/>
    <n v="4247"/>
    <n v="179"/>
    <n v="175"/>
    <n v="32991"/>
    <n v="70120"/>
    <n v="276"/>
    <n v="0.13946227759085811"/>
    <n v="4601"/>
    <x v="0"/>
    <s v="#SoundtrackOfLife"/>
    <s v="#NowPlaying"/>
  </r>
  <r>
    <s v="SP200"/>
    <s v="Twitter"/>
    <d v="2024-03-18T00:00:00"/>
    <x v="1"/>
    <s v="Text"/>
    <s v="New music just dropped. Hit play!"/>
    <n v="2033"/>
    <n v="420"/>
    <n v="94"/>
    <n v="56290"/>
    <n v="57391"/>
    <n v="196"/>
    <n v="4.5247823769763724E-2"/>
    <n v="2547"/>
    <x v="0"/>
    <s v="#NowPlaying"/>
    <m/>
  </r>
  <r>
    <s v="SP201"/>
    <s v="Twitter"/>
    <d v="2024-09-12T00:00:00"/>
    <x v="1"/>
    <s v="Story"/>
    <s v="Wrapped is here! Relive your top tracks ðŸŽ§"/>
    <n v="1839"/>
    <n v="223"/>
    <n v="171"/>
    <n v="35459"/>
    <n v="69988"/>
    <n v="114"/>
    <n v="6.2974139146620034E-2"/>
    <n v="2233"/>
    <x v="0"/>
    <s v="#MusicForEveryone"/>
    <s v="#NowPlaying"/>
  </r>
  <r>
    <s v="SP202"/>
    <s v="Twitter"/>
    <d v="2024-01-11T00:00:00"/>
    <x v="1"/>
    <s v="Story"/>
    <s v="Wrapped is here! Relive your top tracks ðŸŽ§"/>
    <n v="2340"/>
    <n v="141"/>
    <n v="206"/>
    <n v="24916"/>
    <n v="30582"/>
    <n v="157"/>
    <n v="0.10784235029699792"/>
    <n v="2687"/>
    <x v="0"/>
    <s v="#SoundtrackOfLife"/>
    <s v="#NowPlaying"/>
  </r>
  <r>
    <s v="SP203"/>
    <s v="Instagram"/>
    <d v="2024-10-06T00:00:00"/>
    <x v="1"/>
    <s v="Text"/>
    <s v="Top trending tracks updated daily!"/>
    <n v="2080"/>
    <n v="389"/>
    <n v="92"/>
    <n v="30971"/>
    <n v="25347"/>
    <n v="111"/>
    <n v="8.2690258629040073E-2"/>
    <n v="2561"/>
    <x v="1"/>
    <s v="#DiscoverWeekly"/>
    <m/>
  </r>
  <r>
    <s v="SP204"/>
    <s v="Twitter"/>
    <d v="2024-12-30T00:00:00"/>
    <x v="1"/>
    <s v="Text"/>
    <s v="Get into the groove with our new drop!"/>
    <n v="4214"/>
    <n v="286"/>
    <n v="127"/>
    <n v="47293"/>
    <n v="27184"/>
    <n v="232"/>
    <n v="9.7836889180216949E-2"/>
    <n v="4627"/>
    <x v="0"/>
    <s v="#NowPlaying"/>
    <m/>
  </r>
  <r>
    <s v="SP205"/>
    <s v="Twitter"/>
    <d v="2025-04-16T00:00:00"/>
    <x v="0"/>
    <s v="Text"/>
    <s v="Wrapped is here! Relive your top tracks ðŸŽ§"/>
    <n v="3792"/>
    <n v="315"/>
    <n v="120"/>
    <n v="54592"/>
    <n v="67886"/>
    <n v="117"/>
    <n v="7.7428927315357568E-2"/>
    <n v="4227"/>
    <x v="1"/>
    <s v="#SoundtrackOfLife"/>
    <m/>
  </r>
  <r>
    <s v="SP206"/>
    <s v="Twitter"/>
    <d v="2024-08-21T00:00:00"/>
    <x v="1"/>
    <s v="Story"/>
    <s v="Explore the latest podcasts now."/>
    <n v="3989"/>
    <n v="476"/>
    <n v="128"/>
    <n v="57569"/>
    <n v="40193"/>
    <n v="222"/>
    <n v="7.9782521843353188E-2"/>
    <n v="4593"/>
    <x v="0"/>
    <s v="#DiscoverWeekly"/>
    <s v="#MusicForEveryone"/>
  </r>
  <r>
    <s v="SP207"/>
    <s v="Twitter"/>
    <d v="2024-04-05T00:00:00"/>
    <x v="1"/>
    <s v="Story"/>
    <s v="Wrapped is here! Relive your top tracks ðŸŽ§"/>
    <n v="2857"/>
    <n v="443"/>
    <n v="359"/>
    <n v="51519"/>
    <n v="28256"/>
    <n v="155"/>
    <n v="7.1022341272152026E-2"/>
    <n v="3659"/>
    <x v="0"/>
    <s v="#SoundtrackOfLife"/>
    <s v="#NowPlaying"/>
  </r>
  <r>
    <s v="SP208"/>
    <s v="Twitter"/>
    <d v="2025-04-07T00:00:00"/>
    <x v="0"/>
    <s v="Text"/>
    <s v="From pop to podcasts, itâ€™s all here."/>
    <n v="1403"/>
    <n v="385"/>
    <n v="344"/>
    <n v="54223"/>
    <n v="72595"/>
    <n v="239"/>
    <n v="3.9319108127547353E-2"/>
    <n v="2132"/>
    <x v="1"/>
    <s v="#SoundtrackOfLife"/>
    <m/>
  </r>
  <r>
    <s v="SP209"/>
    <s v="Twitter"/>
    <d v="2024-07-19T00:00:00"/>
    <x v="1"/>
    <s v="Story"/>
    <s v="Whatâ€™s your vibe today? #SpotifyHits"/>
    <n v="3071"/>
    <n v="126"/>
    <n v="200"/>
    <n v="44013"/>
    <n v="44679"/>
    <n v="118"/>
    <n v="7.7181741758116915E-2"/>
    <n v="3397"/>
    <x v="0"/>
    <s v="#DiscoverWeekly"/>
    <s v="#MusicForEveryone"/>
  </r>
  <r>
    <s v="SP210"/>
    <s v="Twitter"/>
    <d v="2025-05-03T00:00:00"/>
    <x v="0"/>
    <s v="Story"/>
    <s v="Top trending tracks updated daily!"/>
    <n v="1010"/>
    <n v="361"/>
    <n v="240"/>
    <n v="47229"/>
    <n v="72573"/>
    <n v="275"/>
    <n v="3.4110398272247981E-2"/>
    <n v="1611"/>
    <x v="0"/>
    <s v="#SoundtrackOfLife"/>
    <s v="#NowPlaying"/>
  </r>
  <r>
    <s v="SP211"/>
    <s v="Twitter"/>
    <d v="2024-04-14T00:00:00"/>
    <x v="1"/>
    <s v="Story"/>
    <s v="Discover fresh beats on Spotify!"/>
    <n v="1295"/>
    <n v="153"/>
    <n v="81"/>
    <n v="48350"/>
    <n v="61033"/>
    <n v="232"/>
    <n v="3.1623578076525334E-2"/>
    <n v="1529"/>
    <x v="0"/>
    <s v="#DiscoverWeekly"/>
    <s v="#MusicForEveryone"/>
  </r>
  <r>
    <s v="SP212"/>
    <s v="Twitter"/>
    <d v="2025-06-19T00:00:00"/>
    <x v="0"/>
    <s v="Story"/>
    <s v="Whatâ€™s your vibe today? #SpotifyHits"/>
    <n v="1433"/>
    <n v="452"/>
    <n v="305"/>
    <n v="54541"/>
    <n v="63700"/>
    <n v="296"/>
    <n v="4.0153279184466734E-2"/>
    <n v="2190"/>
    <x v="0"/>
    <s v="#DiscoverWeekly"/>
    <s v="#MusicForEveryone"/>
  </r>
  <r>
    <s v="SP213"/>
    <s v="Instagram"/>
    <d v="2025-06-24T00:00:00"/>
    <x v="0"/>
    <s v="Story"/>
    <s v="Get into the groove with our new drop!"/>
    <n v="4902"/>
    <n v="422"/>
    <n v="376"/>
    <n v="31674"/>
    <n v="53225"/>
    <n v="147"/>
    <n v="0.17995832544042431"/>
    <n v="5700"/>
    <x v="2"/>
    <s v="#NowPlaying"/>
    <m/>
  </r>
  <r>
    <s v="SP214"/>
    <s v="Twitter"/>
    <d v="2024-10-09T00:00:00"/>
    <x v="1"/>
    <s v="Text"/>
    <s v="Wrapped is here! Relive your top tracks ðŸŽ§"/>
    <n v="2659"/>
    <n v="167"/>
    <n v="73"/>
    <n v="23090"/>
    <n v="25872"/>
    <n v="293"/>
    <n v="0.12555218709398008"/>
    <n v="2899"/>
    <x v="1"/>
    <s v="#SoundtrackOfLife"/>
    <m/>
  </r>
  <r>
    <s v="SP215"/>
    <s v="YouTube"/>
    <d v="2025-01-15T00:00:00"/>
    <x v="1"/>
    <s v="Text"/>
    <s v="Your weekend playlist is waiting."/>
    <n v="2599"/>
    <n v="324"/>
    <n v="182"/>
    <n v="37525"/>
    <n v="37216"/>
    <n v="186"/>
    <n v="8.2744836775483013E-2"/>
    <n v="3105"/>
    <x v="1"/>
    <s v="#DiscoverWeekly"/>
    <s v="#SpotifyWrapped"/>
  </r>
  <r>
    <s v="SP216"/>
    <s v="Twitter"/>
    <d v="2025-01-12T00:00:00"/>
    <x v="1"/>
    <s v="Text"/>
    <s v="Music that moves youâ€”only on Spotify."/>
    <n v="1765"/>
    <n v="285"/>
    <n v="100"/>
    <n v="41313"/>
    <n v="56575"/>
    <n v="174"/>
    <n v="5.2041730205988429E-2"/>
    <n v="2150"/>
    <x v="1"/>
    <s v="#SoundtrackOfLife"/>
    <m/>
  </r>
  <r>
    <s v="SP217"/>
    <s v="Instagram"/>
    <d v="2025-05-31T00:00:00"/>
    <x v="0"/>
    <s v="Text"/>
    <s v="Whatâ€™s your vibe today? #SpotifyHits"/>
    <n v="2169"/>
    <n v="240"/>
    <n v="57"/>
    <n v="26109"/>
    <n v="46667"/>
    <n v="133"/>
    <n v="9.4450189589796618E-2"/>
    <n v="2466"/>
    <x v="0"/>
    <s v="#SoundtrackOfLife"/>
    <s v="#NowPlaying"/>
  </r>
  <r>
    <s v="SP218"/>
    <s v="Twitter"/>
    <d v="2024-10-14T00:00:00"/>
    <x v="1"/>
    <s v="Story"/>
    <s v="Explore the latest podcasts now."/>
    <n v="4303"/>
    <n v="306"/>
    <n v="302"/>
    <n v="39575"/>
    <n v="33762"/>
    <n v="265"/>
    <n v="0.12409349336702463"/>
    <n v="4911"/>
    <x v="0"/>
    <s v="#DiscoverWeekly"/>
    <s v="#MusicForEveryone"/>
  </r>
  <r>
    <s v="SP219"/>
    <s v="Twitter"/>
    <d v="2024-02-10T00:00:00"/>
    <x v="1"/>
    <s v="Text"/>
    <s v="From pop to podcasts, itâ€™s all here."/>
    <n v="1519"/>
    <n v="456"/>
    <n v="379"/>
    <n v="51611"/>
    <n v="45880"/>
    <n v="176"/>
    <n v="4.5610431884675749E-2"/>
    <n v="2354"/>
    <x v="1"/>
    <s v="#SoundtrackOfLife"/>
    <m/>
  </r>
  <r>
    <s v="SP220"/>
    <s v="YouTube"/>
    <d v="2024-12-10T00:00:00"/>
    <x v="1"/>
    <s v="Text"/>
    <s v="Whatâ€™s your vibe today? #SpotifyHits"/>
    <n v="2569"/>
    <n v="140"/>
    <n v="375"/>
    <n v="38372"/>
    <n v="22102"/>
    <n v="255"/>
    <n v="8.0371103929948923E-2"/>
    <n v="3084"/>
    <x v="1"/>
    <s v="#DiscoverWeekly"/>
    <s v="#SpotifyWrapped"/>
  </r>
  <r>
    <s v="SP221"/>
    <s v="Twitter"/>
    <d v="2025-05-09T00:00:00"/>
    <x v="0"/>
    <s v="Story"/>
    <s v="Music that moves youâ€”only on Spotify."/>
    <n v="2778"/>
    <n v="241"/>
    <n v="317"/>
    <n v="26247"/>
    <n v="20677"/>
    <n v="282"/>
    <n v="0.1271002400274317"/>
    <n v="3336"/>
    <x v="0"/>
    <s v="#MusicForEveryone"/>
    <s v="#NowPlaying"/>
  </r>
  <r>
    <s v="SP222"/>
    <s v="Twitter"/>
    <d v="2025-06-21T00:00:00"/>
    <x v="0"/>
    <s v="Text"/>
    <s v="Explore the latest podcasts now."/>
    <n v="3611"/>
    <n v="127"/>
    <n v="139"/>
    <n v="44768"/>
    <n v="29435"/>
    <n v="178"/>
    <n v="8.6602037169406718E-2"/>
    <n v="3877"/>
    <x v="0"/>
    <s v="#NowPlaying"/>
    <m/>
  </r>
  <r>
    <s v="SP223"/>
    <s v="Twitter"/>
    <d v="2024-06-19T00:00:00"/>
    <x v="1"/>
    <s v="Text"/>
    <s v="Whatâ€™s your vibe today? #SpotifyHits"/>
    <n v="1224"/>
    <n v="168"/>
    <n v="199"/>
    <n v="54232"/>
    <n v="52844"/>
    <n v="271"/>
    <n v="2.9336922849977874E-2"/>
    <n v="1591"/>
    <x v="1"/>
    <s v="#SoundtrackOfLife"/>
    <m/>
  </r>
  <r>
    <s v="SP224"/>
    <s v="Twitter"/>
    <d v="2024-12-10T00:00:00"/>
    <x v="1"/>
    <s v="Text"/>
    <s v="From pop to podcasts, itâ€™s all here."/>
    <n v="4673"/>
    <n v="270"/>
    <n v="93"/>
    <n v="45260"/>
    <n v="57513"/>
    <n v="103"/>
    <n v="0.11126822801590809"/>
    <n v="5036"/>
    <x v="0"/>
    <s v="#NowPlaying"/>
    <m/>
  </r>
  <r>
    <s v="SP225"/>
    <s v="YouTube"/>
    <d v="2024-02-01T00:00:00"/>
    <x v="1"/>
    <s v="Text"/>
    <s v="Wrapped is here! Relive your top tracks ðŸŽ§"/>
    <n v="1432"/>
    <n v="437"/>
    <n v="267"/>
    <n v="40634"/>
    <n v="54511"/>
    <n v="197"/>
    <n v="5.2566815966924252E-2"/>
    <n v="2136"/>
    <x v="1"/>
    <s v="#DiscoverWeekly"/>
    <s v="#SpotifyWrapped"/>
  </r>
  <r>
    <s v="SP226"/>
    <s v="Twitter"/>
    <d v="2024-01-17T00:00:00"/>
    <x v="1"/>
    <s v="Story"/>
    <s v="New music just dropped. Hit play!"/>
    <n v="2174"/>
    <n v="499"/>
    <n v="212"/>
    <n v="54938"/>
    <n v="27190"/>
    <n v="265"/>
    <n v="5.2513742764570971E-2"/>
    <n v="2885"/>
    <x v="0"/>
    <s v="#MusicForEveryone"/>
    <s v="#NowPlaying"/>
  </r>
  <r>
    <s v="SP227"/>
    <s v="YouTube"/>
    <d v="2025-03-22T00:00:00"/>
    <x v="2"/>
    <s v="Text"/>
    <s v="Music that moves youâ€”only on Spotify."/>
    <n v="4308"/>
    <n v="171"/>
    <n v="106"/>
    <n v="36955"/>
    <n v="23949"/>
    <n v="294"/>
    <n v="0.12406981463942633"/>
    <n v="4585"/>
    <x v="1"/>
    <s v="#DiscoverWeekly"/>
    <s v="#SpotifyWrapped"/>
  </r>
  <r>
    <s v="SP228"/>
    <s v="YouTube"/>
    <d v="2024-05-30T00:00:00"/>
    <x v="1"/>
    <s v="Reel"/>
    <s v="Whatâ€™s your vibe today? #SpotifyHits"/>
    <n v="1060"/>
    <n v="442"/>
    <n v="319"/>
    <n v="57194"/>
    <n v="24258"/>
    <n v="101"/>
    <n v="3.1839004091338254E-2"/>
    <n v="1821"/>
    <x v="3"/>
    <s v="#DiscoverWeekly"/>
    <s v="#SoundtrackOfLife"/>
  </r>
  <r>
    <s v="SP229"/>
    <s v="YouTube"/>
    <d v="2024-02-24T00:00:00"/>
    <x v="1"/>
    <s v="Text"/>
    <s v="Music that moves youâ€”only on Spotify."/>
    <n v="4653"/>
    <n v="226"/>
    <n v="349"/>
    <n v="56876"/>
    <n v="28452"/>
    <n v="257"/>
    <n v="9.191926295801392E-2"/>
    <n v="5228"/>
    <x v="1"/>
    <s v="#DiscoverWeekly"/>
    <s v="#SpotifyWrapped"/>
  </r>
  <r>
    <s v="SP230"/>
    <s v="YouTube"/>
    <d v="2025-05-14T00:00:00"/>
    <x v="0"/>
    <s v="Text"/>
    <s v="Discover fresh beats on Spotify!"/>
    <n v="1701"/>
    <n v="272"/>
    <n v="385"/>
    <n v="47496"/>
    <n v="40832"/>
    <n v="246"/>
    <n v="4.9646286003031836E-2"/>
    <n v="2358"/>
    <x v="1"/>
    <s v="#DiscoverWeekly"/>
    <s v="#SpotifyWrapped"/>
  </r>
  <r>
    <s v="SP231"/>
    <s v="Instagram"/>
    <d v="2024-03-28T00:00:00"/>
    <x v="1"/>
    <s v="Text"/>
    <s v="Whatâ€™s your vibe today? #SpotifyHits"/>
    <n v="1673"/>
    <n v="280"/>
    <n v="67"/>
    <n v="29847"/>
    <n v="48016"/>
    <n v="213"/>
    <n v="6.76784936509532E-2"/>
    <n v="2020"/>
    <x v="0"/>
    <s v="#SoundtrackOfLife"/>
    <s v="#NowPlaying"/>
  </r>
  <r>
    <s v="SP232"/>
    <s v="YouTube"/>
    <d v="2025-03-07T00:00:00"/>
    <x v="2"/>
    <s v="Text"/>
    <s v="Top trending tracks updated daily!"/>
    <n v="4310"/>
    <n v="284"/>
    <n v="306"/>
    <n v="44606"/>
    <n v="42604"/>
    <n v="290"/>
    <n v="0.10985069273191947"/>
    <n v="4900"/>
    <x v="1"/>
    <s v="#DiscoverWeekly"/>
    <s v="#SpotifyWrapped"/>
  </r>
  <r>
    <s v="SP233"/>
    <s v="Twitter"/>
    <d v="2024-10-20T00:00:00"/>
    <x v="1"/>
    <s v="Text"/>
    <s v="From pop to podcasts, itâ€™s all here."/>
    <n v="2752"/>
    <n v="309"/>
    <n v="91"/>
    <n v="39038"/>
    <n v="28095"/>
    <n v="277"/>
    <n v="8.0741841282852611E-2"/>
    <n v="3152"/>
    <x v="0"/>
    <s v="#NowPlaying"/>
    <m/>
  </r>
  <r>
    <s v="SP234"/>
    <s v="Twitter"/>
    <d v="2024-02-02T00:00:00"/>
    <x v="1"/>
    <s v="Text"/>
    <s v="From pop to podcasts, itâ€™s all here."/>
    <n v="3818"/>
    <n v="115"/>
    <n v="286"/>
    <n v="25127"/>
    <n v="22277"/>
    <n v="263"/>
    <n v="0.16790703227603773"/>
    <n v="4219"/>
    <x v="0"/>
    <s v="#NowPlaying"/>
    <m/>
  </r>
  <r>
    <s v="SP235"/>
    <s v="YouTube"/>
    <d v="2024-09-07T00:00:00"/>
    <x v="1"/>
    <s v="Text"/>
    <s v="Your weekend playlist is waiting."/>
    <n v="2101"/>
    <n v="411"/>
    <n v="190"/>
    <n v="41791"/>
    <n v="57090"/>
    <n v="172"/>
    <n v="6.4655069273288512E-2"/>
    <n v="2702"/>
    <x v="1"/>
    <s v="#DiscoverWeekly"/>
    <s v="#SpotifyWrapped"/>
  </r>
  <r>
    <s v="SP236"/>
    <s v="Instagram"/>
    <d v="2024-12-20T00:00:00"/>
    <x v="1"/>
    <s v="Text"/>
    <s v="Discover fresh beats on Spotify!"/>
    <n v="2519"/>
    <n v="202"/>
    <n v="239"/>
    <n v="36245"/>
    <n v="48606"/>
    <n v="145"/>
    <n v="8.1666436749896543E-2"/>
    <n v="2960"/>
    <x v="1"/>
    <s v="#DiscoverWeekly"/>
    <m/>
  </r>
  <r>
    <s v="SP237"/>
    <s v="YouTube"/>
    <d v="2024-01-14T00:00:00"/>
    <x v="1"/>
    <s v="Text"/>
    <s v="Whatâ€™s your vibe today? #SpotifyHits"/>
    <n v="4502"/>
    <n v="238"/>
    <n v="386"/>
    <n v="39198"/>
    <n v="25050"/>
    <n v="297"/>
    <n v="0.13077197816215114"/>
    <n v="5126"/>
    <x v="1"/>
    <s v="#DiscoverWeekly"/>
    <s v="#SpotifyWrapped"/>
  </r>
  <r>
    <s v="SP238"/>
    <s v="Instagram"/>
    <d v="2025-06-15T00:00:00"/>
    <x v="0"/>
    <s v="Text"/>
    <s v="Explore the latest podcasts now."/>
    <n v="2478"/>
    <n v="427"/>
    <n v="242"/>
    <n v="59272"/>
    <n v="37833"/>
    <n v="214"/>
    <n v="5.3094209744904843E-2"/>
    <n v="3147"/>
    <x v="0"/>
    <s v="#SoundtrackOfLife"/>
    <s v="#NowPlaying"/>
  </r>
  <r>
    <s v="SP239"/>
    <s v="Twitter"/>
    <d v="2024-12-13T00:00:00"/>
    <x v="1"/>
    <s v="Story"/>
    <s v="New music just dropped. Hit play!"/>
    <n v="4984"/>
    <n v="300"/>
    <n v="338"/>
    <n v="32900"/>
    <n v="31691"/>
    <n v="160"/>
    <n v="0.17088145896656534"/>
    <n v="5622"/>
    <x v="0"/>
    <s v="#MusicForEveryone"/>
    <s v="#NowPlaying"/>
  </r>
  <r>
    <s v="SP240"/>
    <s v="YouTube"/>
    <d v="2024-08-29T00:00:00"/>
    <x v="1"/>
    <s v="Text"/>
    <s v="Wrapped is here! Relive your top tracks ðŸŽ§"/>
    <n v="4774"/>
    <n v="389"/>
    <n v="358"/>
    <n v="52346"/>
    <n v="30518"/>
    <n v="277"/>
    <n v="0.10547128720437092"/>
    <n v="5521"/>
    <x v="1"/>
    <s v="#DiscoverWeekly"/>
    <s v="#SpotifyWrapped"/>
  </r>
  <r>
    <s v="SP241"/>
    <s v="Twitter"/>
    <d v="2024-09-15T00:00:00"/>
    <x v="1"/>
    <s v="Text"/>
    <s v="Get into the groove with our new drop!"/>
    <n v="2145"/>
    <n v="340"/>
    <n v="85"/>
    <n v="53323"/>
    <n v="49938"/>
    <n v="104"/>
    <n v="4.819683813738912E-2"/>
    <n v="2570"/>
    <x v="0"/>
    <s v="#NowPlaying"/>
    <m/>
  </r>
  <r>
    <s v="SP242"/>
    <s v="Twitter"/>
    <d v="2025-04-12T00:00:00"/>
    <x v="0"/>
    <s v="Story"/>
    <s v="From pop to podcasts, itâ€™s all here."/>
    <n v="4315"/>
    <n v="208"/>
    <n v="273"/>
    <n v="35780"/>
    <n v="44349"/>
    <n v="133"/>
    <n v="0.13404136389044158"/>
    <n v="4796"/>
    <x v="0"/>
    <s v="#DiscoverWeekly"/>
    <s v="#MusicForEveryone"/>
  </r>
  <r>
    <s v="SP243"/>
    <s v="Twitter"/>
    <d v="2024-12-10T00:00:00"/>
    <x v="1"/>
    <s v="Story"/>
    <s v="Wrapped is here! Relive your top tracks ðŸŽ§"/>
    <n v="2267"/>
    <n v="230"/>
    <n v="243"/>
    <n v="27904"/>
    <n v="69771"/>
    <n v="255"/>
    <n v="9.8193807339449546E-2"/>
    <n v="2740"/>
    <x v="0"/>
    <s v="#DiscoverWeekly"/>
    <s v="#MusicForEveryone"/>
  </r>
  <r>
    <s v="SP244"/>
    <s v="YouTube"/>
    <d v="2025-06-08T00:00:00"/>
    <x v="0"/>
    <s v="Text"/>
    <s v="Music that moves youâ€”only on Spotify."/>
    <n v="4375"/>
    <n v="303"/>
    <n v="294"/>
    <n v="57468"/>
    <n v="53397"/>
    <n v="159"/>
    <n v="8.6517714206166912E-2"/>
    <n v="4972"/>
    <x v="1"/>
    <s v="#DiscoverWeekly"/>
    <s v="#SpotifyWrapped"/>
  </r>
  <r>
    <s v="SP245"/>
    <s v="Twitter"/>
    <d v="2025-01-09T00:00:00"/>
    <x v="1"/>
    <s v="Story"/>
    <s v="Your weekend playlist is waiting."/>
    <n v="3817"/>
    <n v="284"/>
    <n v="204"/>
    <n v="46434"/>
    <n v="53396"/>
    <n v="104"/>
    <n v="9.2712236723090841E-2"/>
    <n v="4305"/>
    <x v="0"/>
    <s v="#MusicForEveryone"/>
    <s v="#NowPlaying"/>
  </r>
  <r>
    <s v="SP246"/>
    <s v="Twitter"/>
    <d v="2024-07-08T00:00:00"/>
    <x v="1"/>
    <s v="Story"/>
    <s v="Top trending tracks updated daily!"/>
    <n v="2981"/>
    <n v="258"/>
    <n v="168"/>
    <n v="20677"/>
    <n v="68290"/>
    <n v="130"/>
    <n v="0.16477245248343569"/>
    <n v="3407"/>
    <x v="0"/>
    <s v="#SoundtrackOfLife"/>
    <s v="#NowPlaying"/>
  </r>
  <r>
    <s v="SP247"/>
    <s v="Twitter"/>
    <d v="2024-09-16T00:00:00"/>
    <x v="1"/>
    <s v="Story"/>
    <s v="Your weekend playlist is waiting."/>
    <n v="3300"/>
    <n v="354"/>
    <n v="397"/>
    <n v="56773"/>
    <n v="72110"/>
    <n v="163"/>
    <n v="7.1354340971940891E-2"/>
    <n v="4051"/>
    <x v="0"/>
    <s v="#DiscoverWeekly"/>
    <s v="#MusicForEveryone"/>
  </r>
  <r>
    <s v="SP248"/>
    <s v="YouTube"/>
    <d v="2024-06-14T00:00:00"/>
    <x v="1"/>
    <s v="Reel"/>
    <s v="Wrapped is here! Relive your top tracks ðŸŽ§"/>
    <n v="4722"/>
    <n v="310"/>
    <n v="344"/>
    <n v="27911"/>
    <n v="19000"/>
    <n v="225"/>
    <n v="0.19261223173659131"/>
    <n v="5376"/>
    <x v="3"/>
    <s v="#DiscoverWeekly"/>
    <s v="#SoundtrackOfLife"/>
  </r>
  <r>
    <s v="SP249"/>
    <s v="Instagram"/>
    <d v="2024-03-06T00:00:00"/>
    <x v="1"/>
    <s v="Text"/>
    <s v="Whatâ€™s your vibe today? #SpotifyHits"/>
    <n v="3529"/>
    <n v="263"/>
    <n v="107"/>
    <n v="26570"/>
    <n v="19367"/>
    <n v="96"/>
    <n v="0.14674444862627023"/>
    <n v="3899"/>
    <x v="1"/>
    <s v="#DiscoverWeekly"/>
    <m/>
  </r>
  <r>
    <s v="SP250"/>
    <s v="Twitter"/>
    <d v="2025-05-15T00:00:00"/>
    <x v="0"/>
    <s v="Text"/>
    <s v="Your weekend playlist is waiting."/>
    <n v="4782"/>
    <n v="210"/>
    <n v="311"/>
    <n v="29793"/>
    <n v="37543"/>
    <n v="145"/>
    <n v="0.17799483100057059"/>
    <n v="5303"/>
    <x v="0"/>
    <s v="#NowPlaying"/>
    <m/>
  </r>
  <r>
    <s v="SP251"/>
    <s v="Twitter"/>
    <d v="2024-07-07T00:00:00"/>
    <x v="1"/>
    <s v="Text"/>
    <s v="Whatâ€™s your vibe today? #SpotifyHits"/>
    <n v="1848"/>
    <n v="417"/>
    <n v="294"/>
    <n v="57819"/>
    <n v="19798"/>
    <n v="262"/>
    <n v="4.4258807658382193E-2"/>
    <n v="2559"/>
    <x v="1"/>
    <s v="#SoundtrackOfLife"/>
    <m/>
  </r>
  <r>
    <s v="SP252"/>
    <s v="YouTube"/>
    <d v="2024-10-26T00:00:00"/>
    <x v="1"/>
    <s v="Text"/>
    <s v="New music just dropped. Hit play!"/>
    <n v="4676"/>
    <n v="211"/>
    <n v="55"/>
    <n v="45917"/>
    <n v="73503"/>
    <n v="248"/>
    <n v="0.10762898272970794"/>
    <n v="4942"/>
    <x v="1"/>
    <s v="#DiscoverWeekly"/>
    <s v="#SpotifyWrapped"/>
  </r>
  <r>
    <s v="SP253"/>
    <s v="YouTube"/>
    <d v="2024-08-08T00:00:00"/>
    <x v="1"/>
    <s v="Text"/>
    <s v="From pop to podcasts, itâ€™s all here."/>
    <n v="1994"/>
    <n v="197"/>
    <n v="290"/>
    <n v="49500"/>
    <n v="23343"/>
    <n v="160"/>
    <n v="5.0121212121212122E-2"/>
    <n v="2481"/>
    <x v="1"/>
    <s v="#DiscoverWeekly"/>
    <s v="#SpotifyWrapped"/>
  </r>
  <r>
    <s v="SP254"/>
    <s v="Twitter"/>
    <d v="2025-02-03T00:00:00"/>
    <x v="2"/>
    <s v="Text"/>
    <s v="Whatâ€™s your vibe today? #SpotifyHits"/>
    <n v="4995"/>
    <n v="231"/>
    <n v="94"/>
    <n v="34431"/>
    <n v="32560"/>
    <n v="262"/>
    <n v="0.15451192239551567"/>
    <n v="5320"/>
    <x v="0"/>
    <s v="#NowPlaying"/>
    <m/>
  </r>
  <r>
    <s v="SP255"/>
    <s v="Twitter"/>
    <d v="2024-04-03T00:00:00"/>
    <x v="1"/>
    <s v="Story"/>
    <s v="Top trending tracks updated daily!"/>
    <n v="2291"/>
    <n v="146"/>
    <n v="399"/>
    <n v="49319"/>
    <n v="28056"/>
    <n v="90"/>
    <n v="5.7503193495407452E-2"/>
    <n v="2836"/>
    <x v="0"/>
    <s v="#DiscoverWeekly"/>
    <s v="#MusicForEveryone"/>
  </r>
  <r>
    <s v="SP256"/>
    <s v="Twitter"/>
    <d v="2024-07-08T00:00:00"/>
    <x v="1"/>
    <s v="Story"/>
    <s v="Wrapped is here! Relive your top tracks ðŸŽ§"/>
    <n v="2304"/>
    <n v="289"/>
    <n v="161"/>
    <n v="52645"/>
    <n v="66262"/>
    <n v="146"/>
    <n v="5.2312660271630736E-2"/>
    <n v="2754"/>
    <x v="0"/>
    <s v="#MusicForEveryone"/>
    <s v="#NowPlaying"/>
  </r>
  <r>
    <s v="SP257"/>
    <s v="Twitter"/>
    <d v="2024-06-08T00:00:00"/>
    <x v="1"/>
    <s v="Story"/>
    <s v="Top trending tracks updated daily!"/>
    <n v="3413"/>
    <n v="326"/>
    <n v="86"/>
    <n v="44680"/>
    <n v="52719"/>
    <n v="272"/>
    <n v="8.5608773500447627E-2"/>
    <n v="3825"/>
    <x v="0"/>
    <s v="#DiscoverWeekly"/>
    <s v="#MusicForEveryone"/>
  </r>
  <r>
    <s v="SP258"/>
    <s v="YouTube"/>
    <d v="2025-03-20T00:00:00"/>
    <x v="0"/>
    <s v="Reel"/>
    <s v="From pop to podcasts, itâ€™s all here."/>
    <n v="1453"/>
    <n v="156"/>
    <n v="178"/>
    <n v="52980"/>
    <n v="57180"/>
    <n v="286"/>
    <n v="3.3729709324273313E-2"/>
    <n v="1787"/>
    <x v="3"/>
    <s v="#DiscoverWeekly"/>
    <s v="#SoundtrackOfLife"/>
  </r>
  <r>
    <s v="SP259"/>
    <s v="Twitter"/>
    <d v="2025-01-19T00:00:00"/>
    <x v="2"/>
    <s v="Story"/>
    <s v="Music that moves youâ€”only on Spotify."/>
    <n v="1651"/>
    <n v="480"/>
    <n v="282"/>
    <n v="32140"/>
    <n v="70560"/>
    <n v="138"/>
    <n v="7.5077784691972627E-2"/>
    <n v="2413"/>
    <x v="0"/>
    <s v="#SoundtrackOfLife"/>
    <s v="#NowPlaying"/>
  </r>
  <r>
    <s v="SP260"/>
    <s v="Twitter"/>
    <d v="2025-01-05T00:00:00"/>
    <x v="1"/>
    <s v="Story"/>
    <s v="Explore the latest podcasts now."/>
    <n v="3341"/>
    <n v="154"/>
    <n v="123"/>
    <n v="43369"/>
    <n v="49035"/>
    <n v="128"/>
    <n v="8.3423643616408028E-2"/>
    <n v="3618"/>
    <x v="0"/>
    <s v="#MusicForEveryone"/>
    <s v="#NowPlaying"/>
  </r>
  <r>
    <s v="SP261"/>
    <s v="Twitter"/>
    <d v="2024-11-16T00:00:00"/>
    <x v="1"/>
    <s v="Text"/>
    <s v="From pop to podcasts, itâ€™s all here."/>
    <n v="2972"/>
    <n v="263"/>
    <n v="308"/>
    <n v="51740"/>
    <n v="28214"/>
    <n v="190"/>
    <n v="6.8477000386548123E-2"/>
    <n v="3543"/>
    <x v="1"/>
    <s v="#SoundtrackOfLife"/>
    <m/>
  </r>
  <r>
    <s v="SP262"/>
    <s v="Twitter"/>
    <d v="2024-11-30T00:00:00"/>
    <x v="1"/>
    <s v="Story"/>
    <s v="Explore the latest podcasts now."/>
    <n v="4963"/>
    <n v="255"/>
    <n v="193"/>
    <n v="44386"/>
    <n v="28415"/>
    <n v="174"/>
    <n v="0.12190780876853062"/>
    <n v="5411"/>
    <x v="0"/>
    <s v="#MusicForEveryone"/>
    <s v="#NowPlaying"/>
  </r>
  <r>
    <s v="SP263"/>
    <s v="YouTube"/>
    <d v="2024-03-27T00:00:00"/>
    <x v="1"/>
    <s v="Text"/>
    <s v="Music that moves youâ€”only on Spotify."/>
    <n v="2399"/>
    <n v="191"/>
    <n v="221"/>
    <n v="51603"/>
    <n v="40033"/>
    <n v="173"/>
    <n v="5.4473577117609438E-2"/>
    <n v="2811"/>
    <x v="1"/>
    <s v="#DiscoverWeekly"/>
    <s v="#SpotifyWrapped"/>
  </r>
  <r>
    <s v="SP264"/>
    <s v="YouTube"/>
    <d v="2025-05-31T00:00:00"/>
    <x v="0"/>
    <s v="Reel"/>
    <s v="Get into the groove with our new drop!"/>
    <n v="2162"/>
    <n v="318"/>
    <n v="83"/>
    <n v="46719"/>
    <n v="20482"/>
    <n v="185"/>
    <n v="5.4859907104176028E-2"/>
    <n v="2563"/>
    <x v="3"/>
    <s v="#DiscoverWeekly"/>
    <s v="#SoundtrackOfLife"/>
  </r>
  <r>
    <s v="SP265"/>
    <s v="Twitter"/>
    <d v="2025-06-17T00:00:00"/>
    <x v="0"/>
    <s v="Story"/>
    <s v="Explore the latest podcasts now."/>
    <n v="4341"/>
    <n v="141"/>
    <n v="63"/>
    <n v="50081"/>
    <n v="27507"/>
    <n v="221"/>
    <n v="9.0752980172121162E-2"/>
    <n v="4545"/>
    <x v="0"/>
    <s v="#DiscoverWeekly"/>
    <s v="#MusicForEveryone"/>
  </r>
  <r>
    <s v="SP266"/>
    <s v="Instagram"/>
    <d v="2024-05-30T00:00:00"/>
    <x v="1"/>
    <s v="Story"/>
    <s v="Get into the groove with our new drop!"/>
    <n v="2448"/>
    <n v="464"/>
    <n v="98"/>
    <n v="25737"/>
    <n v="48545"/>
    <n v="246"/>
    <n v="0.11695224773672146"/>
    <n v="3010"/>
    <x v="2"/>
    <s v="#NowPlaying"/>
    <m/>
  </r>
  <r>
    <s v="SP267"/>
    <s v="YouTube"/>
    <d v="2024-11-08T00:00:00"/>
    <x v="1"/>
    <s v="Text"/>
    <s v="Top trending tracks updated daily!"/>
    <n v="2471"/>
    <n v="166"/>
    <n v="320"/>
    <n v="48254"/>
    <n v="46900"/>
    <n v="111"/>
    <n v="6.1279893894806647E-2"/>
    <n v="2957"/>
    <x v="1"/>
    <s v="#DiscoverWeekly"/>
    <s v="#SpotifyWrapped"/>
  </r>
  <r>
    <s v="SP268"/>
    <s v="YouTube"/>
    <d v="2024-03-17T00:00:00"/>
    <x v="1"/>
    <s v="Reel"/>
    <s v="Explore the latest podcasts now."/>
    <n v="2692"/>
    <n v="446"/>
    <n v="216"/>
    <n v="45818"/>
    <n v="62723"/>
    <n v="85"/>
    <n v="7.3202671439172376E-2"/>
    <n v="3354"/>
    <x v="3"/>
    <s v="#DiscoverWeekly"/>
    <s v="#SoundtrackOfLife"/>
  </r>
  <r>
    <s v="SP269"/>
    <s v="YouTube"/>
    <d v="2024-06-21T00:00:00"/>
    <x v="2"/>
    <s v="Reel"/>
    <s v="Music that moves youâ€”only on Spotify."/>
    <n v="4621"/>
    <n v="374"/>
    <n v="298"/>
    <n v="56979"/>
    <n v="24098"/>
    <n v="205"/>
    <n v="9.2893873181347508E-2"/>
    <n v="5293"/>
    <x v="3"/>
    <s v="#DiscoverWeekly"/>
    <s v="#SoundtrackOfLife"/>
  </r>
  <r>
    <s v="SP270"/>
    <s v="Twitter"/>
    <d v="2024-11-13T00:00:00"/>
    <x v="1"/>
    <s v="Story"/>
    <s v="New music just dropped. Hit play!"/>
    <n v="1409"/>
    <n v="466"/>
    <n v="105"/>
    <n v="58923"/>
    <n v="38753"/>
    <n v="265"/>
    <n v="3.3603177027646251E-2"/>
    <n v="1980"/>
    <x v="0"/>
    <s v="#DiscoverWeekly"/>
    <s v="#MusicForEveryone"/>
  </r>
  <r>
    <s v="SP271"/>
    <s v="Twitter"/>
    <d v="2025-02-05T00:00:00"/>
    <x v="2"/>
    <s v="Story"/>
    <s v="Discover fresh beats on Spotify!"/>
    <n v="3029"/>
    <n v="440"/>
    <n v="66"/>
    <n v="23815"/>
    <n v="47895"/>
    <n v="210"/>
    <n v="0.14843585975225698"/>
    <n v="3535"/>
    <x v="0"/>
    <s v="#DiscoverWeekly"/>
    <s v="#MusicForEveryone"/>
  </r>
  <r>
    <s v="SP272"/>
    <s v="Twitter"/>
    <d v="2024-11-07T00:00:00"/>
    <x v="1"/>
    <s v="Text"/>
    <s v="Explore the latest podcasts now."/>
    <n v="2229"/>
    <n v="395"/>
    <n v="328"/>
    <n v="56921"/>
    <n v="37176"/>
    <n v="126"/>
    <n v="5.1861351697967357E-2"/>
    <n v="2952"/>
    <x v="1"/>
    <s v="#SoundtrackOfLife"/>
    <m/>
  </r>
  <r>
    <s v="SP273"/>
    <s v="Twitter"/>
    <d v="2024-02-12T00:00:00"/>
    <x v="1"/>
    <s v="Text"/>
    <s v="Explore the latest podcasts now."/>
    <n v="2691"/>
    <n v="486"/>
    <n v="206"/>
    <n v="51133"/>
    <n v="44583"/>
    <n v="276"/>
    <n v="6.6160796354604659E-2"/>
    <n v="3383"/>
    <x v="0"/>
    <s v="#NowPlaying"/>
    <m/>
  </r>
  <r>
    <s v="SP274"/>
    <s v="Instagram"/>
    <d v="2024-10-08T00:00:00"/>
    <x v="1"/>
    <s v="Text"/>
    <s v="Explore the latest podcasts now."/>
    <n v="2110"/>
    <n v="384"/>
    <n v="236"/>
    <n v="49965"/>
    <n v="61555"/>
    <n v="195"/>
    <n v="5.4638246772740921E-2"/>
    <n v="2730"/>
    <x v="1"/>
    <s v="#DiscoverWeekly"/>
    <m/>
  </r>
  <r>
    <s v="SP275"/>
    <s v="Instagram"/>
    <d v="2024-02-19T00:00:00"/>
    <x v="1"/>
    <s v="Text"/>
    <s v="Wrapped is here! Relive your top tracks ðŸŽ§"/>
    <n v="4752"/>
    <n v="449"/>
    <n v="309"/>
    <n v="58530"/>
    <n v="26630"/>
    <n v="234"/>
    <n v="9.4139757389372969E-2"/>
    <n v="5510"/>
    <x v="1"/>
    <s v="#DiscoverWeekly"/>
    <m/>
  </r>
  <r>
    <s v="SP276"/>
    <s v="Twitter"/>
    <d v="2025-03-04T00:00:00"/>
    <x v="0"/>
    <s v="Text"/>
    <s v="Discover fresh beats on Spotify!"/>
    <n v="2177"/>
    <n v="258"/>
    <n v="292"/>
    <n v="47276"/>
    <n v="51324"/>
    <n v="143"/>
    <n v="5.7682545054573146E-2"/>
    <n v="2727"/>
    <x v="0"/>
    <s v="#NowPlaying"/>
    <m/>
  </r>
  <r>
    <s v="SP277"/>
    <s v="Instagram"/>
    <d v="2025-02-03T00:00:00"/>
    <x v="0"/>
    <s v="Story"/>
    <s v="New music just dropped. Hit play!"/>
    <n v="1205"/>
    <n v="486"/>
    <n v="269"/>
    <n v="23341"/>
    <n v="42411"/>
    <n v="184"/>
    <n v="8.3972409065592737E-2"/>
    <n v="1960"/>
    <x v="2"/>
    <s v="#NowPlaying"/>
    <m/>
  </r>
  <r>
    <s v="SP278"/>
    <s v="Instagram"/>
    <d v="2024-12-02T00:00:00"/>
    <x v="1"/>
    <s v="Text"/>
    <s v="Top trending tracks updated daily!"/>
    <n v="3194"/>
    <n v="292"/>
    <n v="245"/>
    <n v="56371"/>
    <n v="65597"/>
    <n v="163"/>
    <n v="6.6186514342481059E-2"/>
    <n v="3731"/>
    <x v="0"/>
    <s v="#SoundtrackOfLife"/>
    <s v="#NowPlaying"/>
  </r>
  <r>
    <s v="SP279"/>
    <s v="Twitter"/>
    <d v="2025-01-19T00:00:00"/>
    <x v="2"/>
    <s v="Story"/>
    <s v="New music just dropped. Hit play!"/>
    <n v="3507"/>
    <n v="295"/>
    <n v="371"/>
    <n v="20410"/>
    <n v="53965"/>
    <n v="212"/>
    <n v="0.20445859872611466"/>
    <n v="4173"/>
    <x v="0"/>
    <s v="#SoundtrackOfLife"/>
    <s v="#NowPlaying"/>
  </r>
  <r>
    <s v="SP280"/>
    <s v="Twitter"/>
    <d v="2024-09-28T00:00:00"/>
    <x v="1"/>
    <s v="Story"/>
    <s v="Wrapped is here! Relive your top tracks ðŸŽ§"/>
    <n v="4471"/>
    <n v="317"/>
    <n v="249"/>
    <n v="44862"/>
    <n v="33365"/>
    <n v="184"/>
    <n v="0.1122776514644911"/>
    <n v="5037"/>
    <x v="0"/>
    <s v="#DiscoverWeekly"/>
    <s v="#MusicForEveryone"/>
  </r>
  <r>
    <s v="SP281"/>
    <s v="Instagram"/>
    <d v="2024-01-07T00:00:00"/>
    <x v="1"/>
    <s v="Text"/>
    <s v="Top trending tracks updated daily!"/>
    <n v="4931"/>
    <n v="469"/>
    <n v="193"/>
    <n v="56701"/>
    <n v="69437"/>
    <n v="291"/>
    <n v="9.8640235621946709E-2"/>
    <n v="5593"/>
    <x v="0"/>
    <s v="#SoundtrackOfLife"/>
    <s v="#NowPlaying"/>
  </r>
  <r>
    <s v="SP282"/>
    <s v="Twitter"/>
    <d v="2024-02-21T00:00:00"/>
    <x v="1"/>
    <s v="Story"/>
    <s v="Get into the groove with our new drop!"/>
    <n v="2604"/>
    <n v="439"/>
    <n v="148"/>
    <n v="58468"/>
    <n v="39629"/>
    <n v="163"/>
    <n v="5.4576862557296296E-2"/>
    <n v="3191"/>
    <x v="0"/>
    <s v="#MusicForEveryone"/>
    <s v="#NowPlaying"/>
  </r>
  <r>
    <s v="SP283"/>
    <s v="Instagram"/>
    <d v="2024-08-27T00:00:00"/>
    <x v="1"/>
    <s v="Text"/>
    <s v="Music that moves youâ€”only on Spotify."/>
    <n v="4197"/>
    <n v="359"/>
    <n v="280"/>
    <n v="56048"/>
    <n v="70930"/>
    <n v="295"/>
    <n v="8.628318584070796E-2"/>
    <n v="4836"/>
    <x v="1"/>
    <s v="#DiscoverWeekly"/>
    <m/>
  </r>
  <r>
    <s v="SP284"/>
    <s v="Instagram"/>
    <d v="2024-10-24T00:00:00"/>
    <x v="1"/>
    <s v="Story"/>
    <s v="Top trending tracks updated daily!"/>
    <n v="1914"/>
    <n v="255"/>
    <n v="156"/>
    <n v="27660"/>
    <n v="47776"/>
    <n v="111"/>
    <n v="8.4056399132321047E-2"/>
    <n v="2325"/>
    <x v="2"/>
    <s v="#NowPlaying"/>
    <m/>
  </r>
  <r>
    <s v="SP285"/>
    <s v="YouTube"/>
    <d v="2025-01-29T00:00:00"/>
    <x v="1"/>
    <s v="Text"/>
    <s v="New music just dropped. Hit play!"/>
    <n v="1334"/>
    <n v="357"/>
    <n v="257"/>
    <n v="56910"/>
    <n v="70606"/>
    <n v="228"/>
    <n v="3.4229485151994379E-2"/>
    <n v="1948"/>
    <x v="1"/>
    <s v="#DiscoverWeekly"/>
    <s v="#SpotifyWrapped"/>
  </r>
  <r>
    <s v="SP286"/>
    <s v="Instagram"/>
    <d v="2024-05-01T00:00:00"/>
    <x v="1"/>
    <s v="Text"/>
    <s v="Get into the groove with our new drop!"/>
    <n v="3359"/>
    <n v="137"/>
    <n v="387"/>
    <n v="33861"/>
    <n v="47257"/>
    <n v="198"/>
    <n v="0.11467469950680724"/>
    <n v="3883"/>
    <x v="1"/>
    <s v="#DiscoverWeekly"/>
    <m/>
  </r>
  <r>
    <s v="SP287"/>
    <s v="YouTube"/>
    <d v="2024-06-25T00:00:00"/>
    <x v="1"/>
    <s v="Text"/>
    <s v="Your weekend playlist is waiting."/>
    <n v="2172"/>
    <n v="338"/>
    <n v="70"/>
    <n v="30515"/>
    <n v="57853"/>
    <n v="156"/>
    <n v="8.4548582664263475E-2"/>
    <n v="2580"/>
    <x v="1"/>
    <s v="#DiscoverWeekly"/>
    <s v="#SpotifyWrapped"/>
  </r>
  <r>
    <s v="SP288"/>
    <s v="Twitter"/>
    <d v="2024-08-09T00:00:00"/>
    <x v="1"/>
    <s v="Story"/>
    <s v="From pop to podcasts, itâ€™s all here."/>
    <n v="4877"/>
    <n v="442"/>
    <n v="236"/>
    <n v="52673"/>
    <n v="48241"/>
    <n v="114"/>
    <n v="0.10546200140489435"/>
    <n v="5555"/>
    <x v="0"/>
    <s v="#DiscoverWeekly"/>
    <s v="#MusicForEveryone"/>
  </r>
  <r>
    <s v="SP289"/>
    <s v="Instagram"/>
    <d v="2025-01-21T00:00:00"/>
    <x v="0"/>
    <s v="Story"/>
    <s v="New music just dropped. Hit play!"/>
    <n v="4918"/>
    <n v="440"/>
    <n v="149"/>
    <n v="53269"/>
    <n v="64370"/>
    <n v="269"/>
    <n v="0.10338095327488783"/>
    <n v="5507"/>
    <x v="2"/>
    <s v="#NowPlaying"/>
    <m/>
  </r>
  <r>
    <s v="SP290"/>
    <s v="Twitter"/>
    <d v="2024-08-13T00:00:00"/>
    <x v="1"/>
    <s v="Text"/>
    <s v="Explore the latest podcasts now."/>
    <n v="3418"/>
    <n v="107"/>
    <n v="221"/>
    <n v="23927"/>
    <n v="26182"/>
    <n v="155"/>
    <n v="0.1565595352530614"/>
    <n v="3746"/>
    <x v="1"/>
    <s v="#SoundtrackOfLife"/>
    <m/>
  </r>
  <r>
    <s v="SP291"/>
    <s v="Instagram"/>
    <d v="2024-06-29T00:00:00"/>
    <x v="1"/>
    <s v="Text"/>
    <s v="Your weekend playlist is waiting."/>
    <n v="2088"/>
    <n v="490"/>
    <n v="124"/>
    <n v="46544"/>
    <n v="69346"/>
    <n v="178"/>
    <n v="5.8052595393606049E-2"/>
    <n v="2702"/>
    <x v="0"/>
    <s v="#SoundtrackOfLife"/>
    <s v="#NowPlaying"/>
  </r>
  <r>
    <s v="SP292"/>
    <s v="Twitter"/>
    <d v="2024-11-03T00:00:00"/>
    <x v="1"/>
    <s v="Story"/>
    <s v="Explore the latest podcasts now."/>
    <n v="3061"/>
    <n v="320"/>
    <n v="76"/>
    <n v="26640"/>
    <n v="24306"/>
    <n v="112"/>
    <n v="0.12976726726726726"/>
    <n v="3457"/>
    <x v="0"/>
    <s v="#MusicForEveryone"/>
    <s v="#NowPlaying"/>
  </r>
  <r>
    <s v="SP293"/>
    <s v="YouTube"/>
    <d v="2025-04-18T00:00:00"/>
    <x v="0"/>
    <s v="Reel"/>
    <s v="Your weekend playlist is waiting."/>
    <n v="1265"/>
    <n v="230"/>
    <n v="364"/>
    <n v="41312"/>
    <n v="50382"/>
    <n v="106"/>
    <n v="4.4999031758326875E-2"/>
    <n v="1859"/>
    <x v="3"/>
    <s v="#DiscoverWeekly"/>
    <s v="#SoundtrackOfLife"/>
  </r>
  <r>
    <s v="SP294"/>
    <s v="Instagram"/>
    <d v="2024-12-27T00:00:00"/>
    <x v="1"/>
    <s v="Text"/>
    <s v="From pop to podcasts, itâ€™s all here."/>
    <n v="1436"/>
    <n v="219"/>
    <n v="229"/>
    <n v="58488"/>
    <n v="24314"/>
    <n v="147"/>
    <n v="3.221173574066475E-2"/>
    <n v="1884"/>
    <x v="1"/>
    <s v="#DiscoverWeekly"/>
    <m/>
  </r>
  <r>
    <s v="SP295"/>
    <s v="Instagram"/>
    <d v="2025-03-08T00:00:00"/>
    <x v="0"/>
    <s v="Story"/>
    <s v="Top trending tracks updated daily!"/>
    <n v="2244"/>
    <n v="392"/>
    <n v="231"/>
    <n v="25834"/>
    <n v="50906"/>
    <n v="165"/>
    <n v="0.1109777812185492"/>
    <n v="2867"/>
    <x v="2"/>
    <s v="#NowPlaying"/>
    <m/>
  </r>
  <r>
    <s v="SP296"/>
    <s v="Twitter"/>
    <d v="2025-03-20T00:00:00"/>
    <x v="0"/>
    <s v="Story"/>
    <s v="Your weekend playlist is waiting."/>
    <n v="3393"/>
    <n v="104"/>
    <n v="79"/>
    <n v="30025"/>
    <n v="21593"/>
    <n v="165"/>
    <n v="0.1191007493755204"/>
    <n v="3576"/>
    <x v="0"/>
    <s v="#MusicForEveryone"/>
    <s v="#NowPlaying"/>
  </r>
  <r>
    <s v="SP297"/>
    <s v="Twitter"/>
    <d v="2024-11-16T00:00:00"/>
    <x v="1"/>
    <s v="Text"/>
    <s v="Explore the latest podcasts now."/>
    <n v="2901"/>
    <n v="108"/>
    <n v="86"/>
    <n v="51777"/>
    <n v="23773"/>
    <n v="160"/>
    <n v="5.9775576027966085E-2"/>
    <n v="3095"/>
    <x v="1"/>
    <s v="#SoundtrackOfLife"/>
    <m/>
  </r>
  <r>
    <s v="SP298"/>
    <s v="Twitter"/>
    <d v="2025-06-30T00:00:00"/>
    <x v="0"/>
    <s v="Text"/>
    <s v="Whatâ€™s your vibe today? #SpotifyHits"/>
    <n v="2275"/>
    <n v="285"/>
    <n v="125"/>
    <n v="43970"/>
    <n v="74761"/>
    <n v="83"/>
    <n v="6.1064362065044349E-2"/>
    <n v="2685"/>
    <x v="0"/>
    <s v="#NowPlaying"/>
    <m/>
  </r>
  <r>
    <s v="SP299"/>
    <s v="Twitter"/>
    <d v="2024-01-12T00:00:00"/>
    <x v="1"/>
    <s v="Story"/>
    <s v="Wrapped is here! Relive your top tracks ðŸŽ§"/>
    <n v="2227"/>
    <n v="494"/>
    <n v="161"/>
    <n v="51651"/>
    <n v="68074"/>
    <n v="240"/>
    <n v="5.5797564422760453E-2"/>
    <n v="2882"/>
    <x v="0"/>
    <s v="#DiscoverWeekly"/>
    <s v="#MusicForEveryone"/>
  </r>
  <r>
    <s v="SP300"/>
    <s v="Instagram"/>
    <d v="2024-02-07T00:00:00"/>
    <x v="1"/>
    <s v="Text"/>
    <s v="Music that moves youâ€”only on Spotify."/>
    <n v="1883"/>
    <n v="432"/>
    <n v="397"/>
    <n v="28759"/>
    <n v="18691"/>
    <n v="270"/>
    <n v="9.4300914496331587E-2"/>
    <n v="2712"/>
    <x v="0"/>
    <s v="#SoundtrackOfLife"/>
    <s v="#NowPlaying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s v="Instagram"/>
    <n v="1402"/>
    <n v="68"/>
    <n v="124562"/>
    <n v="9.9199999999999997E-2"/>
    <n v="23125"/>
    <x v="0"/>
  </r>
  <r>
    <d v="2024-06-03T00:00:00"/>
    <s v="Twitter"/>
    <n v="995"/>
    <n v="86"/>
    <n v="227958"/>
    <n v="8.0500000000000002E-2"/>
    <n v="22788"/>
    <x v="0"/>
  </r>
  <r>
    <d v="2024-06-03T00:00:00"/>
    <s v="YouTube"/>
    <n v="1472"/>
    <n v="296"/>
    <n v="370242"/>
    <n v="7.7199999999999991E-2"/>
    <n v="7810"/>
    <x v="0"/>
  </r>
  <r>
    <d v="2024-06-10T00:00:00"/>
    <s v="Instagram"/>
    <n v="1018"/>
    <n v="90"/>
    <n v="92474"/>
    <n v="9.4E-2"/>
    <n v="11966"/>
    <x v="0"/>
  </r>
  <r>
    <d v="2024-06-10T00:00:00"/>
    <s v="Twitter"/>
    <n v="1461"/>
    <n v="64"/>
    <n v="328902"/>
    <n v="9.0200000000000002E-2"/>
    <n v="26298"/>
    <x v="0"/>
  </r>
  <r>
    <d v="2024-06-10T00:00:00"/>
    <s v="YouTube"/>
    <n v="545"/>
    <n v="93"/>
    <n v="391621"/>
    <n v="9.9600000000000008E-2"/>
    <n v="22029"/>
    <x v="0"/>
  </r>
  <r>
    <d v="2024-06-17T00:00:00"/>
    <s v="Instagram"/>
    <n v="881"/>
    <n v="291"/>
    <n v="95885"/>
    <n v="5.2900000000000003E-2"/>
    <n v="12391"/>
    <x v="1"/>
  </r>
  <r>
    <d v="2024-06-17T00:00:00"/>
    <s v="Twitter"/>
    <n v="1414"/>
    <n v="131"/>
    <n v="245947"/>
    <n v="8.3000000000000004E-2"/>
    <n v="14477"/>
    <x v="1"/>
  </r>
  <r>
    <d v="2024-06-17T00:00:00"/>
    <s v="YouTube"/>
    <n v="1472"/>
    <n v="170"/>
    <n v="250428"/>
    <n v="4.6600000000000003E-2"/>
    <n v="25040"/>
    <x v="1"/>
  </r>
  <r>
    <d v="2024-06-24T00:00:00"/>
    <s v="Instagram"/>
    <n v="809"/>
    <n v="197"/>
    <n v="87186"/>
    <n v="9.4800000000000009E-2"/>
    <n v="22619"/>
    <x v="1"/>
  </r>
  <r>
    <d v="2024-06-24T00:00:00"/>
    <s v="Twitter"/>
    <n v="1371"/>
    <n v="250"/>
    <n v="128620"/>
    <n v="7.1099999999999997E-2"/>
    <n v="12399"/>
    <x v="1"/>
  </r>
  <r>
    <d v="2024-06-24T00:00:00"/>
    <s v="YouTube"/>
    <n v="844"/>
    <n v="144"/>
    <n v="126015"/>
    <n v="9.6500000000000002E-2"/>
    <n v="22456"/>
    <x v="1"/>
  </r>
  <r>
    <d v="2024-07-01T00:00:00"/>
    <s v="Instagram"/>
    <n v="786"/>
    <n v="72"/>
    <n v="178615"/>
    <n v="5.4299999999999994E-2"/>
    <n v="19328"/>
    <x v="1"/>
  </r>
  <r>
    <d v="2024-07-01T00:00:00"/>
    <s v="Twitter"/>
    <n v="845"/>
    <n v="250"/>
    <n v="218228"/>
    <n v="4.5199999999999997E-2"/>
    <n v="21107"/>
    <x v="1"/>
  </r>
  <r>
    <d v="2024-07-01T00:00:00"/>
    <s v="YouTube"/>
    <n v="1218"/>
    <n v="101"/>
    <n v="300397"/>
    <n v="4.3299999999999998E-2"/>
    <n v="12277"/>
    <x v="1"/>
  </r>
  <r>
    <d v="2024-07-08T00:00:00"/>
    <s v="Instagram"/>
    <n v="797"/>
    <n v="130"/>
    <n v="340121"/>
    <n v="8.5199999999999998E-2"/>
    <n v="11684"/>
    <x v="1"/>
  </r>
  <r>
    <d v="2024-07-08T00:00:00"/>
    <s v="Twitter"/>
    <n v="1471"/>
    <n v="100"/>
    <n v="76866"/>
    <n v="8.5500000000000007E-2"/>
    <n v="14412"/>
    <x v="1"/>
  </r>
  <r>
    <d v="2024-07-08T00:00:00"/>
    <s v="YouTube"/>
    <n v="1253"/>
    <n v="136"/>
    <n v="193131"/>
    <n v="7.9899999999999999E-2"/>
    <n v="15924"/>
    <x v="1"/>
  </r>
  <r>
    <d v="2024-07-15T00:00:00"/>
    <s v="Instagram"/>
    <n v="616"/>
    <n v="257"/>
    <n v="169665"/>
    <n v="6.3099999999999989E-2"/>
    <n v="12390"/>
    <x v="1"/>
  </r>
  <r>
    <d v="2024-07-15T00:00:00"/>
    <s v="Twitter"/>
    <n v="1308"/>
    <n v="210"/>
    <n v="263729"/>
    <n v="8.5299999999999987E-2"/>
    <n v="25742"/>
    <x v="1"/>
  </r>
  <r>
    <d v="2024-07-15T00:00:00"/>
    <s v="YouTube"/>
    <n v="981"/>
    <n v="69"/>
    <n v="206921"/>
    <n v="8.4199999999999997E-2"/>
    <n v="10495"/>
    <x v="1"/>
  </r>
  <r>
    <d v="2024-07-22T00:00:00"/>
    <s v="Instagram"/>
    <n v="866"/>
    <n v="74"/>
    <n v="204121"/>
    <n v="9.3399999999999997E-2"/>
    <n v="7797"/>
    <x v="0"/>
  </r>
  <r>
    <d v="2024-07-22T00:00:00"/>
    <s v="Twitter"/>
    <n v="547"/>
    <n v="183"/>
    <n v="266350"/>
    <n v="5.6500000000000002E-2"/>
    <n v="15595"/>
    <x v="0"/>
  </r>
  <r>
    <d v="2024-07-22T00:00:00"/>
    <s v="YouTube"/>
    <n v="1241"/>
    <n v="116"/>
    <n v="380606"/>
    <n v="4.2000000000000003E-2"/>
    <n v="24617"/>
    <x v="0"/>
  </r>
  <r>
    <d v="2024-07-29T00:00:00"/>
    <s v="Instagram"/>
    <n v="973"/>
    <n v="104"/>
    <n v="376358"/>
    <n v="3.8699999999999998E-2"/>
    <n v="9847"/>
    <x v="0"/>
  </r>
  <r>
    <d v="2024-07-29T00:00:00"/>
    <s v="Twitter"/>
    <n v="611"/>
    <n v="197"/>
    <n v="79423"/>
    <n v="5.8200000000000002E-2"/>
    <n v="13644"/>
    <x v="0"/>
  </r>
  <r>
    <d v="2024-07-29T00:00:00"/>
    <s v="YouTube"/>
    <n v="983"/>
    <n v="134"/>
    <n v="352178"/>
    <n v="3.5499999999999997E-2"/>
    <n v="11421"/>
    <x v="0"/>
  </r>
  <r>
    <d v="2024-08-05T00:00:00"/>
    <s v="Instagram"/>
    <n v="1449"/>
    <n v="96"/>
    <n v="200636"/>
    <n v="9.9199999999999997E-2"/>
    <n v="15613"/>
    <x v="0"/>
  </r>
  <r>
    <d v="2024-08-05T00:00:00"/>
    <s v="Twitter"/>
    <n v="752"/>
    <n v="170"/>
    <n v="132756"/>
    <n v="8.1699999999999995E-2"/>
    <n v="23900"/>
    <x v="0"/>
  </r>
  <r>
    <d v="2024-08-05T00:00:00"/>
    <s v="YouTube"/>
    <n v="937"/>
    <n v="179"/>
    <n v="318098"/>
    <n v="5.2999999999999999E-2"/>
    <n v="5836"/>
    <x v="0"/>
  </r>
  <r>
    <d v="2024-08-12T00:00:00"/>
    <s v="Instagram"/>
    <n v="1060"/>
    <n v="83"/>
    <n v="68724"/>
    <n v="5.9800000000000006E-2"/>
    <n v="5624"/>
    <x v="0"/>
  </r>
  <r>
    <d v="2024-08-12T00:00:00"/>
    <s v="Twitter"/>
    <n v="1456"/>
    <n v="265"/>
    <n v="115505"/>
    <n v="7.4900000000000008E-2"/>
    <n v="10311"/>
    <x v="0"/>
  </r>
  <r>
    <d v="2024-08-12T00:00:00"/>
    <s v="YouTube"/>
    <n v="1109"/>
    <n v="205"/>
    <n v="276722"/>
    <n v="9.3800000000000008E-2"/>
    <n v="8274"/>
    <x v="0"/>
  </r>
  <r>
    <d v="2024-08-19T00:00:00"/>
    <s v="Instagram"/>
    <n v="1002"/>
    <n v="93"/>
    <n v="353538"/>
    <n v="5.8400000000000001E-2"/>
    <n v="6031"/>
    <x v="0"/>
  </r>
  <r>
    <d v="2024-08-19T00:00:00"/>
    <s v="Twitter"/>
    <n v="571"/>
    <n v="189"/>
    <n v="61445"/>
    <n v="5.4100000000000002E-2"/>
    <n v="27829"/>
    <x v="0"/>
  </r>
  <r>
    <d v="2024-08-19T00:00:00"/>
    <s v="YouTube"/>
    <n v="1240"/>
    <n v="231"/>
    <n v="165035"/>
    <n v="6.0499999999999998E-2"/>
    <n v="18267"/>
    <x v="0"/>
  </r>
  <r>
    <d v="2024-08-26T00:00:00"/>
    <s v="Instagram"/>
    <n v="1154"/>
    <n v="132"/>
    <n v="194595"/>
    <n v="7.5399999999999995E-2"/>
    <n v="26624"/>
    <x v="0"/>
  </r>
  <r>
    <d v="2024-08-26T00:00:00"/>
    <s v="Twitter"/>
    <n v="537"/>
    <n v="275"/>
    <n v="236238"/>
    <n v="5.8700000000000002E-2"/>
    <n v="26644"/>
    <x v="0"/>
  </r>
  <r>
    <d v="2024-08-26T00:00:00"/>
    <s v="YouTube"/>
    <n v="1456"/>
    <n v="290"/>
    <n v="271044"/>
    <n v="7.17E-2"/>
    <n v="13051"/>
    <x v="0"/>
  </r>
  <r>
    <d v="2024-09-02T00:00:00"/>
    <s v="Instagram"/>
    <n v="721"/>
    <n v="206"/>
    <n v="334887"/>
    <n v="6.0499999999999998E-2"/>
    <n v="14217"/>
    <x v="0"/>
  </r>
  <r>
    <d v="2024-09-02T00:00:00"/>
    <s v="Twitter"/>
    <n v="1098"/>
    <n v="142"/>
    <n v="359150"/>
    <n v="7.51E-2"/>
    <n v="16385"/>
    <x v="0"/>
  </r>
  <r>
    <d v="2024-09-02T00:00:00"/>
    <s v="YouTube"/>
    <n v="1096"/>
    <n v="65"/>
    <n v="358295"/>
    <n v="7.6600000000000001E-2"/>
    <n v="24548"/>
    <x v="0"/>
  </r>
  <r>
    <d v="2024-09-09T00:00:00"/>
    <s v="Instagram"/>
    <n v="912"/>
    <n v="275"/>
    <n v="368454"/>
    <n v="6.0299999999999999E-2"/>
    <n v="9195"/>
    <x v="0"/>
  </r>
  <r>
    <d v="2024-09-09T00:00:00"/>
    <s v="Twitter"/>
    <n v="1430"/>
    <n v="162"/>
    <n v="269082"/>
    <n v="3.4000000000000002E-2"/>
    <n v="18071"/>
    <x v="0"/>
  </r>
  <r>
    <d v="2024-09-09T00:00:00"/>
    <s v="YouTube"/>
    <n v="854"/>
    <n v="129"/>
    <n v="310903"/>
    <n v="7.8299999999999995E-2"/>
    <n v="16875"/>
    <x v="0"/>
  </r>
  <r>
    <d v="2024-09-16T00:00:00"/>
    <s v="Instagram"/>
    <n v="681"/>
    <n v="210"/>
    <n v="248581"/>
    <n v="8.7599999999999997E-2"/>
    <n v="9567"/>
    <x v="0"/>
  </r>
  <r>
    <d v="2024-09-16T00:00:00"/>
    <s v="Twitter"/>
    <n v="1373"/>
    <n v="82"/>
    <n v="371015"/>
    <n v="9.5199999999999993E-2"/>
    <n v="20306"/>
    <x v="0"/>
  </r>
  <r>
    <d v="2024-09-16T00:00:00"/>
    <s v="YouTube"/>
    <n v="685"/>
    <n v="285"/>
    <n v="177452"/>
    <n v="3.3599999999999998E-2"/>
    <n v="21134"/>
    <x v="0"/>
  </r>
  <r>
    <d v="2024-09-23T00:00:00"/>
    <s v="Instagram"/>
    <n v="1290"/>
    <n v="177"/>
    <n v="80745"/>
    <n v="9.2200000000000004E-2"/>
    <n v="26872"/>
    <x v="0"/>
  </r>
  <r>
    <d v="2024-09-23T00:00:00"/>
    <s v="Twitter"/>
    <n v="1437"/>
    <n v="239"/>
    <n v="362441"/>
    <n v="5.57E-2"/>
    <n v="10253"/>
    <x v="0"/>
  </r>
  <r>
    <d v="2024-09-23T00:00:00"/>
    <s v="YouTube"/>
    <n v="769"/>
    <n v="295"/>
    <n v="344771"/>
    <n v="8.0600000000000005E-2"/>
    <n v="23963"/>
    <x v="0"/>
  </r>
  <r>
    <d v="2024-09-30T00:00:00"/>
    <s v="Instagram"/>
    <n v="1416"/>
    <n v="284"/>
    <n v="374952"/>
    <n v="3.4500000000000003E-2"/>
    <n v="11335"/>
    <x v="0"/>
  </r>
  <r>
    <d v="2024-09-30T00:00:00"/>
    <s v="Twitter"/>
    <n v="998"/>
    <n v="154"/>
    <n v="179781"/>
    <n v="9.5799999999999996E-2"/>
    <n v="12115"/>
    <x v="0"/>
  </r>
  <r>
    <d v="2024-09-30T00:00:00"/>
    <s v="YouTube"/>
    <n v="1421"/>
    <n v="246"/>
    <n v="358581"/>
    <n v="8.8800000000000004E-2"/>
    <n v="24358"/>
    <x v="0"/>
  </r>
  <r>
    <d v="2024-10-07T00:00:00"/>
    <s v="Instagram"/>
    <n v="764"/>
    <n v="205"/>
    <n v="319294"/>
    <n v="6.2300000000000001E-2"/>
    <n v="12181"/>
    <x v="0"/>
  </r>
  <r>
    <d v="2024-10-07T00:00:00"/>
    <s v="Twitter"/>
    <n v="678"/>
    <n v="124"/>
    <n v="192022"/>
    <n v="8.4499999999999992E-2"/>
    <n v="17729"/>
    <x v="0"/>
  </r>
  <r>
    <d v="2024-10-07T00:00:00"/>
    <s v="YouTube"/>
    <n v="1328"/>
    <n v="103"/>
    <n v="151462"/>
    <n v="8.4000000000000005E-2"/>
    <n v="10881"/>
    <x v="0"/>
  </r>
  <r>
    <d v="2024-10-14T00:00:00"/>
    <s v="Instagram"/>
    <n v="1161"/>
    <n v="269"/>
    <n v="188193"/>
    <n v="7.3399999999999993E-2"/>
    <n v="18576"/>
    <x v="0"/>
  </r>
  <r>
    <d v="2024-10-14T00:00:00"/>
    <s v="Twitter"/>
    <n v="588"/>
    <n v="52"/>
    <n v="292040"/>
    <n v="8.14E-2"/>
    <n v="9383"/>
    <x v="0"/>
  </r>
  <r>
    <d v="2024-10-14T00:00:00"/>
    <s v="YouTube"/>
    <n v="1457"/>
    <n v="215"/>
    <n v="325325"/>
    <n v="9.5799999999999996E-2"/>
    <n v="14178"/>
    <x v="0"/>
  </r>
  <r>
    <d v="2024-10-21T00:00:00"/>
    <s v="Instagram"/>
    <n v="1190"/>
    <n v="242"/>
    <n v="86849"/>
    <n v="8.0600000000000005E-2"/>
    <n v="21254"/>
    <x v="0"/>
  </r>
  <r>
    <d v="2024-10-21T00:00:00"/>
    <s v="Twitter"/>
    <n v="886"/>
    <n v="124"/>
    <n v="141161"/>
    <n v="8.1900000000000001E-2"/>
    <n v="14215"/>
    <x v="0"/>
  </r>
  <r>
    <d v="2024-10-21T00:00:00"/>
    <s v="YouTube"/>
    <n v="1237"/>
    <n v="155"/>
    <n v="149916"/>
    <n v="4.4800000000000006E-2"/>
    <n v="16921"/>
    <x v="0"/>
  </r>
  <r>
    <d v="2024-10-28T00:00:00"/>
    <s v="Instagram"/>
    <n v="1435"/>
    <n v="261"/>
    <n v="308533"/>
    <n v="4.5199999999999997E-2"/>
    <n v="25130"/>
    <x v="0"/>
  </r>
  <r>
    <d v="2024-10-28T00:00:00"/>
    <s v="Twitter"/>
    <n v="746"/>
    <n v="282"/>
    <n v="293894"/>
    <n v="5.4199999999999998E-2"/>
    <n v="25537"/>
    <x v="0"/>
  </r>
  <r>
    <d v="2024-10-28T00:00:00"/>
    <s v="YouTube"/>
    <n v="759"/>
    <n v="216"/>
    <n v="147656"/>
    <n v="4.0800000000000003E-2"/>
    <n v="24943"/>
    <x v="0"/>
  </r>
  <r>
    <d v="2024-11-04T00:00:00"/>
    <s v="Instagram"/>
    <n v="1437"/>
    <n v="235"/>
    <n v="326791"/>
    <n v="4.0599999999999997E-2"/>
    <n v="14563"/>
    <x v="0"/>
  </r>
  <r>
    <d v="2024-11-04T00:00:00"/>
    <s v="Twitter"/>
    <n v="1463"/>
    <n v="73"/>
    <n v="348877"/>
    <n v="9.9100000000000008E-2"/>
    <n v="26273"/>
    <x v="0"/>
  </r>
  <r>
    <d v="2024-11-04T00:00:00"/>
    <s v="YouTube"/>
    <n v="1208"/>
    <n v="224"/>
    <n v="122730"/>
    <n v="8.72E-2"/>
    <n v="10858"/>
    <x v="0"/>
  </r>
  <r>
    <d v="2024-11-11T00:00:00"/>
    <s v="Instagram"/>
    <n v="1391"/>
    <n v="187"/>
    <n v="306508"/>
    <n v="8.3800000000000013E-2"/>
    <n v="25038"/>
    <x v="0"/>
  </r>
  <r>
    <d v="2024-11-11T00:00:00"/>
    <s v="Twitter"/>
    <n v="655"/>
    <n v="123"/>
    <n v="202472"/>
    <n v="7.5600000000000001E-2"/>
    <n v="9092"/>
    <x v="0"/>
  </r>
  <r>
    <d v="2024-11-11T00:00:00"/>
    <s v="YouTube"/>
    <n v="1148"/>
    <n v="90"/>
    <n v="227249"/>
    <n v="7.2400000000000006E-2"/>
    <n v="17662"/>
    <x v="0"/>
  </r>
  <r>
    <d v="2024-11-18T00:00:00"/>
    <s v="Instagram"/>
    <n v="946"/>
    <n v="270"/>
    <n v="246567"/>
    <n v="4.53E-2"/>
    <n v="5924"/>
    <x v="0"/>
  </r>
  <r>
    <d v="2024-11-18T00:00:00"/>
    <s v="Twitter"/>
    <n v="791"/>
    <n v="214"/>
    <n v="114738"/>
    <n v="6.6199999999999995E-2"/>
    <n v="25347"/>
    <x v="0"/>
  </r>
  <r>
    <d v="2024-11-18T00:00:00"/>
    <s v="YouTube"/>
    <n v="793"/>
    <n v="111"/>
    <n v="333500"/>
    <n v="6.3600000000000004E-2"/>
    <n v="8910"/>
    <x v="0"/>
  </r>
  <r>
    <d v="2024-11-25T00:00:00"/>
    <s v="Instagram"/>
    <n v="663"/>
    <n v="213"/>
    <n v="352677"/>
    <n v="0.09"/>
    <n v="20438"/>
    <x v="0"/>
  </r>
  <r>
    <d v="2024-11-25T00:00:00"/>
    <s v="Twitter"/>
    <n v="954"/>
    <n v="271"/>
    <n v="160936"/>
    <n v="8.8300000000000003E-2"/>
    <n v="8760"/>
    <x v="0"/>
  </r>
  <r>
    <d v="2024-11-25T00:00:00"/>
    <s v="YouTube"/>
    <n v="1313"/>
    <n v="159"/>
    <n v="197183"/>
    <n v="9.7100000000000006E-2"/>
    <n v="6625"/>
    <x v="0"/>
  </r>
  <r>
    <d v="2024-12-02T00:00:00"/>
    <s v="Instagram"/>
    <n v="895"/>
    <n v="87"/>
    <n v="171271"/>
    <n v="6.6799999999999998E-2"/>
    <n v="23329"/>
    <x v="2"/>
  </r>
  <r>
    <d v="2024-12-02T00:00:00"/>
    <s v="Twitter"/>
    <n v="1027"/>
    <n v="156"/>
    <n v="111293"/>
    <n v="5.5099999999999996E-2"/>
    <n v="7299"/>
    <x v="2"/>
  </r>
  <r>
    <d v="2024-12-02T00:00:00"/>
    <s v="YouTube"/>
    <n v="990"/>
    <n v="286"/>
    <n v="351493"/>
    <n v="7.9699999999999993E-2"/>
    <n v="14496"/>
    <x v="2"/>
  </r>
  <r>
    <d v="2024-12-09T00:00:00"/>
    <s v="Instagram"/>
    <n v="875"/>
    <n v="264"/>
    <n v="345631"/>
    <n v="9.1799999999999993E-2"/>
    <n v="25703"/>
    <x v="2"/>
  </r>
  <r>
    <d v="2024-12-09T00:00:00"/>
    <s v="Twitter"/>
    <n v="599"/>
    <n v="194"/>
    <n v="105622"/>
    <n v="6.4399999999999999E-2"/>
    <n v="15108"/>
    <x v="2"/>
  </r>
  <r>
    <d v="2024-12-09T00:00:00"/>
    <s v="YouTube"/>
    <n v="630"/>
    <n v="248"/>
    <n v="119054"/>
    <n v="5.0199999999999995E-2"/>
    <n v="18867"/>
    <x v="2"/>
  </r>
  <r>
    <d v="2024-12-16T00:00:00"/>
    <s v="Instagram"/>
    <n v="1350"/>
    <n v="233"/>
    <n v="171670"/>
    <n v="4.53E-2"/>
    <n v="17574"/>
    <x v="2"/>
  </r>
  <r>
    <d v="2024-12-16T00:00:00"/>
    <s v="Twitter"/>
    <n v="632"/>
    <n v="155"/>
    <n v="170432"/>
    <n v="9.1700000000000004E-2"/>
    <n v="12840"/>
    <x v="2"/>
  </r>
  <r>
    <d v="2024-12-16T00:00:00"/>
    <s v="YouTube"/>
    <n v="1182"/>
    <n v="83"/>
    <n v="140300"/>
    <n v="3.27E-2"/>
    <n v="21079"/>
    <x v="2"/>
  </r>
  <r>
    <d v="2024-12-23T00:00:00"/>
    <s v="Instagram"/>
    <n v="661"/>
    <n v="94"/>
    <n v="116538"/>
    <n v="5.3099999999999994E-2"/>
    <n v="23486"/>
    <x v="2"/>
  </r>
  <r>
    <d v="2024-12-23T00:00:00"/>
    <s v="Twitter"/>
    <n v="1360"/>
    <n v="227"/>
    <n v="176902"/>
    <n v="6.0299999999999999E-2"/>
    <n v="5960"/>
    <x v="2"/>
  </r>
  <r>
    <d v="2024-12-23T00:00:00"/>
    <s v="YouTube"/>
    <n v="935"/>
    <n v="85"/>
    <n v="326821"/>
    <n v="8.8900000000000007E-2"/>
    <n v="13301"/>
    <x v="2"/>
  </r>
  <r>
    <d v="2024-12-30T00:00:00"/>
    <s v="Instagram"/>
    <n v="664"/>
    <n v="251"/>
    <n v="240598"/>
    <n v="4.7899999999999998E-2"/>
    <n v="10563"/>
    <x v="2"/>
  </r>
  <r>
    <d v="2024-12-30T00:00:00"/>
    <s v="Twitter"/>
    <n v="1490"/>
    <n v="103"/>
    <n v="373274"/>
    <n v="4.8000000000000001E-2"/>
    <n v="19949"/>
    <x v="2"/>
  </r>
  <r>
    <d v="2024-12-30T00:00:00"/>
    <s v="YouTube"/>
    <n v="601"/>
    <n v="64"/>
    <n v="123272"/>
    <n v="4.07E-2"/>
    <n v="14273"/>
    <x v="2"/>
  </r>
  <r>
    <d v="2025-01-06T00:00:00"/>
    <s v="Instagram"/>
    <n v="613"/>
    <n v="170"/>
    <n v="139266"/>
    <n v="6.0599999999999994E-2"/>
    <n v="9247"/>
    <x v="0"/>
  </r>
  <r>
    <d v="2025-01-06T00:00:00"/>
    <s v="Twitter"/>
    <n v="1340"/>
    <n v="57"/>
    <n v="155927"/>
    <n v="7.7899999999999997E-2"/>
    <n v="11972"/>
    <x v="0"/>
  </r>
  <r>
    <d v="2025-01-06T00:00:00"/>
    <s v="YouTube"/>
    <n v="953"/>
    <n v="228"/>
    <n v="258398"/>
    <n v="9.0500000000000011E-2"/>
    <n v="13314"/>
    <x v="0"/>
  </r>
  <r>
    <d v="2025-01-13T00:00:00"/>
    <s v="Instagram"/>
    <n v="532"/>
    <n v="65"/>
    <n v="338561"/>
    <n v="3.5000000000000003E-2"/>
    <n v="14749"/>
    <x v="3"/>
  </r>
  <r>
    <d v="2025-01-13T00:00:00"/>
    <s v="Twitter"/>
    <n v="1414"/>
    <n v="60"/>
    <n v="341856"/>
    <n v="8.7599999999999997E-2"/>
    <n v="6868"/>
    <x v="3"/>
  </r>
  <r>
    <d v="2025-01-13T00:00:00"/>
    <s v="YouTube"/>
    <n v="685"/>
    <n v="165"/>
    <n v="175860"/>
    <n v="6.2600000000000003E-2"/>
    <n v="6027"/>
    <x v="3"/>
  </r>
  <r>
    <d v="2025-01-20T00:00:00"/>
    <s v="Instagram"/>
    <n v="601"/>
    <n v="159"/>
    <n v="327722"/>
    <n v="3.3300000000000003E-2"/>
    <n v="25267"/>
    <x v="3"/>
  </r>
  <r>
    <d v="2025-01-20T00:00:00"/>
    <s v="Twitter"/>
    <n v="841"/>
    <n v="295"/>
    <n v="271638"/>
    <n v="9.1499999999999998E-2"/>
    <n v="5900"/>
    <x v="3"/>
  </r>
  <r>
    <d v="2025-01-20T00:00:00"/>
    <s v="YouTube"/>
    <n v="1105"/>
    <n v="261"/>
    <n v="333851"/>
    <n v="6.0299999999999999E-2"/>
    <n v="11181"/>
    <x v="3"/>
  </r>
  <r>
    <d v="2025-01-27T00:00:00"/>
    <s v="Instagram"/>
    <n v="566"/>
    <n v="225"/>
    <n v="368984"/>
    <n v="9.820000000000001E-2"/>
    <n v="9592"/>
    <x v="3"/>
  </r>
  <r>
    <d v="2025-01-27T00:00:00"/>
    <s v="Twitter"/>
    <n v="1149"/>
    <n v="280"/>
    <n v="167310"/>
    <n v="3.7000000000000005E-2"/>
    <n v="5291"/>
    <x v="3"/>
  </r>
  <r>
    <d v="2025-01-27T00:00:00"/>
    <s v="YouTube"/>
    <n v="819"/>
    <n v="101"/>
    <n v="194811"/>
    <n v="3.3500000000000002E-2"/>
    <n v="22244"/>
    <x v="3"/>
  </r>
  <r>
    <d v="2025-02-03T00:00:00"/>
    <s v="Instagram"/>
    <n v="795"/>
    <n v="60"/>
    <n v="314982"/>
    <n v="7.3099999999999998E-2"/>
    <n v="6824"/>
    <x v="3"/>
  </r>
  <r>
    <d v="2025-02-03T00:00:00"/>
    <s v="Twitter"/>
    <n v="681"/>
    <n v="158"/>
    <n v="75960"/>
    <n v="3.1300000000000001E-2"/>
    <n v="24112"/>
    <x v="3"/>
  </r>
  <r>
    <d v="2025-02-03T00:00:00"/>
    <s v="YouTube"/>
    <n v="534"/>
    <n v="112"/>
    <n v="360759"/>
    <n v="4.8899999999999999E-2"/>
    <n v="25478"/>
    <x v="3"/>
  </r>
  <r>
    <d v="2025-02-10T00:00:00"/>
    <s v="Instagram"/>
    <n v="1066"/>
    <n v="151"/>
    <n v="297090"/>
    <n v="8.6300000000000002E-2"/>
    <n v="11235"/>
    <x v="3"/>
  </r>
  <r>
    <d v="2025-02-10T00:00:00"/>
    <s v="Twitter"/>
    <n v="1270"/>
    <n v="162"/>
    <n v="92040"/>
    <n v="8.0299999999999996E-2"/>
    <n v="6120"/>
    <x v="3"/>
  </r>
  <r>
    <d v="2025-02-10T00:00:00"/>
    <s v="YouTube"/>
    <n v="536"/>
    <n v="198"/>
    <n v="174610"/>
    <n v="7.85E-2"/>
    <n v="20572"/>
    <x v="3"/>
  </r>
  <r>
    <d v="2025-02-17T00:00:00"/>
    <s v="Instagram"/>
    <n v="819"/>
    <n v="95"/>
    <n v="177376"/>
    <n v="6.1200000000000004E-2"/>
    <n v="14975"/>
    <x v="0"/>
  </r>
  <r>
    <d v="2025-02-17T00:00:00"/>
    <s v="Twitter"/>
    <n v="681"/>
    <n v="218"/>
    <n v="198882"/>
    <n v="7.1599999999999997E-2"/>
    <n v="22234"/>
    <x v="0"/>
  </r>
  <r>
    <d v="2025-02-17T00:00:00"/>
    <s v="YouTube"/>
    <n v="646"/>
    <n v="290"/>
    <n v="336383"/>
    <n v="7.0400000000000004E-2"/>
    <n v="6532"/>
    <x v="0"/>
  </r>
  <r>
    <d v="2025-02-24T00:00:00"/>
    <s v="Instagram"/>
    <n v="645"/>
    <n v="267"/>
    <n v="346890"/>
    <n v="3.7100000000000001E-2"/>
    <n v="24858"/>
    <x v="0"/>
  </r>
  <r>
    <d v="2025-02-24T00:00:00"/>
    <s v="Twitter"/>
    <n v="886"/>
    <n v="250"/>
    <n v="168170"/>
    <n v="4.1200000000000001E-2"/>
    <n v="13883"/>
    <x v="0"/>
  </r>
  <r>
    <d v="2025-02-24T00:00:00"/>
    <s v="YouTube"/>
    <n v="978"/>
    <n v="279"/>
    <n v="368872"/>
    <n v="6.8199999999999997E-2"/>
    <n v="18654"/>
    <x v="0"/>
  </r>
  <r>
    <d v="2025-03-03T00:00:00"/>
    <s v="Instagram"/>
    <n v="1444"/>
    <n v="165"/>
    <n v="116436"/>
    <n v="8.2200000000000009E-2"/>
    <n v="25234"/>
    <x v="4"/>
  </r>
  <r>
    <d v="2025-03-03T00:00:00"/>
    <s v="Twitter"/>
    <n v="1234"/>
    <n v="228"/>
    <n v="127502"/>
    <n v="7.7100000000000002E-2"/>
    <n v="6772"/>
    <x v="4"/>
  </r>
  <r>
    <d v="2025-03-03T00:00:00"/>
    <s v="YouTube"/>
    <n v="665"/>
    <n v="187"/>
    <n v="274567"/>
    <n v="7.3899999999999993E-2"/>
    <n v="22428"/>
    <x v="4"/>
  </r>
  <r>
    <d v="2025-03-10T00:00:00"/>
    <s v="Instagram"/>
    <n v="631"/>
    <n v="86"/>
    <n v="295090"/>
    <n v="7.8899999999999998E-2"/>
    <n v="11911"/>
    <x v="4"/>
  </r>
  <r>
    <d v="2025-03-10T00:00:00"/>
    <s v="Twitter"/>
    <n v="1159"/>
    <n v="154"/>
    <n v="194994"/>
    <n v="6.3899999999999998E-2"/>
    <n v="21900"/>
    <x v="4"/>
  </r>
  <r>
    <d v="2025-03-10T00:00:00"/>
    <s v="YouTube"/>
    <n v="950"/>
    <n v="185"/>
    <n v="340750"/>
    <n v="6.7699999999999996E-2"/>
    <n v="25542"/>
    <x v="4"/>
  </r>
  <r>
    <d v="2025-03-17T00:00:00"/>
    <s v="Instagram"/>
    <n v="693"/>
    <n v="129"/>
    <n v="296031"/>
    <n v="3.4099999999999998E-2"/>
    <n v="7140"/>
    <x v="4"/>
  </r>
  <r>
    <d v="2025-03-17T00:00:00"/>
    <s v="Twitter"/>
    <n v="576"/>
    <n v="80"/>
    <n v="345688"/>
    <n v="4.1100000000000005E-2"/>
    <n v="20474"/>
    <x v="4"/>
  </r>
  <r>
    <d v="2025-03-17T00:00:00"/>
    <s v="YouTube"/>
    <n v="1274"/>
    <n v="146"/>
    <n v="263488"/>
    <n v="9.5799999999999996E-2"/>
    <n v="8698"/>
    <x v="4"/>
  </r>
  <r>
    <d v="2025-03-24T00:00:00"/>
    <s v="Instagram"/>
    <n v="818"/>
    <n v="253"/>
    <n v="184911"/>
    <n v="3.39E-2"/>
    <n v="10402"/>
    <x v="4"/>
  </r>
  <r>
    <d v="2025-03-24T00:00:00"/>
    <s v="Twitter"/>
    <n v="975"/>
    <n v="162"/>
    <n v="124497"/>
    <n v="9.5799999999999996E-2"/>
    <n v="26618"/>
    <x v="4"/>
  </r>
  <r>
    <d v="2025-03-24T00:00:00"/>
    <s v="YouTube"/>
    <n v="1398"/>
    <n v="97"/>
    <n v="397607"/>
    <n v="5.0900000000000001E-2"/>
    <n v="7975"/>
    <x v="4"/>
  </r>
  <r>
    <d v="2025-03-31T00:00:00"/>
    <s v="Instagram"/>
    <n v="591"/>
    <n v="155"/>
    <n v="138521"/>
    <n v="7.85E-2"/>
    <n v="19054"/>
    <x v="4"/>
  </r>
  <r>
    <d v="2025-03-31T00:00:00"/>
    <s v="Twitter"/>
    <n v="1232"/>
    <n v="254"/>
    <n v="107718"/>
    <n v="9.7100000000000006E-2"/>
    <n v="13740"/>
    <x v="4"/>
  </r>
  <r>
    <d v="2025-03-31T00:00:00"/>
    <s v="YouTube"/>
    <n v="1425"/>
    <n v="58"/>
    <n v="202234"/>
    <n v="6.6699999999999995E-2"/>
    <n v="18442"/>
    <x v="4"/>
  </r>
  <r>
    <d v="2025-04-07T00:00:00"/>
    <s v="Instagram"/>
    <n v="1417"/>
    <n v="80"/>
    <n v="340987"/>
    <n v="6.13E-2"/>
    <n v="10104"/>
    <x v="0"/>
  </r>
  <r>
    <d v="2025-04-07T00:00:00"/>
    <s v="Twitter"/>
    <n v="1222"/>
    <n v="208"/>
    <n v="340098"/>
    <n v="7.3399999999999993E-2"/>
    <n v="21771"/>
    <x v="0"/>
  </r>
  <r>
    <d v="2025-04-07T00:00:00"/>
    <s v="YouTube"/>
    <n v="1071"/>
    <n v="131"/>
    <n v="254727"/>
    <n v="6.8699999999999997E-2"/>
    <n v="22191"/>
    <x v="0"/>
  </r>
  <r>
    <d v="2025-04-14T00:00:00"/>
    <s v="Instagram"/>
    <n v="772"/>
    <n v="82"/>
    <n v="345659"/>
    <n v="3.5200000000000002E-2"/>
    <n v="27753"/>
    <x v="0"/>
  </r>
  <r>
    <d v="2025-04-14T00:00:00"/>
    <s v="Twitter"/>
    <n v="1472"/>
    <n v="137"/>
    <n v="213950"/>
    <n v="6.9599999999999995E-2"/>
    <n v="23736"/>
    <x v="0"/>
  </r>
  <r>
    <d v="2025-04-14T00:00:00"/>
    <s v="YouTube"/>
    <n v="1472"/>
    <n v="281"/>
    <n v="258115"/>
    <n v="7.2300000000000003E-2"/>
    <n v="27393"/>
    <x v="0"/>
  </r>
  <r>
    <d v="2025-04-21T00:00:00"/>
    <s v="Instagram"/>
    <n v="585"/>
    <n v="232"/>
    <n v="321258"/>
    <n v="7.4200000000000002E-2"/>
    <n v="10343"/>
    <x v="0"/>
  </r>
  <r>
    <d v="2025-04-21T00:00:00"/>
    <s v="Twitter"/>
    <n v="747"/>
    <n v="261"/>
    <n v="338650"/>
    <n v="7.7300000000000008E-2"/>
    <n v="25259"/>
    <x v="0"/>
  </r>
  <r>
    <d v="2025-04-21T00:00:00"/>
    <s v="YouTube"/>
    <n v="1113"/>
    <n v="224"/>
    <n v="272989"/>
    <n v="5.1299999999999998E-2"/>
    <n v="24827"/>
    <x v="0"/>
  </r>
  <r>
    <d v="2025-04-28T00:00:00"/>
    <s v="Instagram"/>
    <n v="1100"/>
    <n v="117"/>
    <n v="260204"/>
    <n v="4.4000000000000004E-2"/>
    <n v="11908"/>
    <x v="0"/>
  </r>
  <r>
    <d v="2025-04-28T00:00:00"/>
    <s v="Twitter"/>
    <n v="751"/>
    <n v="170"/>
    <n v="283278"/>
    <n v="3.49E-2"/>
    <n v="11005"/>
    <x v="0"/>
  </r>
  <r>
    <d v="2025-04-28T00:00:00"/>
    <s v="YouTube"/>
    <n v="864"/>
    <n v="50"/>
    <n v="277445"/>
    <n v="3.5699999999999996E-2"/>
    <n v="26333"/>
    <x v="0"/>
  </r>
  <r>
    <d v="2025-05-05T00:00:00"/>
    <s v="Instagram"/>
    <n v="1146"/>
    <n v="227"/>
    <n v="353781"/>
    <n v="6.4100000000000004E-2"/>
    <n v="5495"/>
    <x v="0"/>
  </r>
  <r>
    <d v="2025-05-05T00:00:00"/>
    <s v="Twitter"/>
    <n v="883"/>
    <n v="207"/>
    <n v="265019"/>
    <n v="6.0400000000000002E-2"/>
    <n v="15655"/>
    <x v="0"/>
  </r>
  <r>
    <d v="2025-05-05T00:00:00"/>
    <s v="YouTube"/>
    <n v="622"/>
    <n v="163"/>
    <n v="231925"/>
    <n v="9.1799999999999993E-2"/>
    <n v="13763"/>
    <x v="0"/>
  </r>
  <r>
    <d v="2025-05-12T00:00:00"/>
    <s v="Instagram"/>
    <n v="837"/>
    <n v="261"/>
    <n v="366149"/>
    <n v="6.54E-2"/>
    <n v="26073"/>
    <x v="0"/>
  </r>
  <r>
    <d v="2025-05-12T00:00:00"/>
    <s v="Twitter"/>
    <n v="544"/>
    <n v="97"/>
    <n v="168375"/>
    <n v="8.6599999999999996E-2"/>
    <n v="12774"/>
    <x v="0"/>
  </r>
  <r>
    <d v="2025-05-12T00:00:00"/>
    <s v="YouTube"/>
    <n v="624"/>
    <n v="247"/>
    <n v="252763"/>
    <n v="3.8900000000000004E-2"/>
    <n v="19000"/>
    <x v="0"/>
  </r>
  <r>
    <d v="2025-05-19T00:00:00"/>
    <s v="Instagram"/>
    <n v="1073"/>
    <n v="141"/>
    <n v="118393"/>
    <n v="7.9500000000000001E-2"/>
    <n v="14051"/>
    <x v="0"/>
  </r>
  <r>
    <d v="2025-05-19T00:00:00"/>
    <s v="Twitter"/>
    <n v="1430"/>
    <n v="74"/>
    <n v="327012"/>
    <n v="6.6600000000000006E-2"/>
    <n v="27782"/>
    <x v="0"/>
  </r>
  <r>
    <d v="2025-05-19T00:00:00"/>
    <s v="YouTube"/>
    <n v="1358"/>
    <n v="77"/>
    <n v="169688"/>
    <n v="5.2499999999999998E-2"/>
    <n v="7859"/>
    <x v="0"/>
  </r>
  <r>
    <d v="2025-05-26T00:00:00"/>
    <s v="Instagram"/>
    <n v="1242"/>
    <n v="201"/>
    <n v="271935"/>
    <n v="5.0700000000000002E-2"/>
    <n v="15773"/>
    <x v="0"/>
  </r>
  <r>
    <d v="2025-05-26T00:00:00"/>
    <s v="Twitter"/>
    <n v="1389"/>
    <n v="205"/>
    <n v="315981"/>
    <n v="7.6200000000000004E-2"/>
    <n v="20595"/>
    <x v="0"/>
  </r>
  <r>
    <d v="2025-05-26T00:00:00"/>
    <s v="YouTube"/>
    <n v="826"/>
    <n v="142"/>
    <n v="341016"/>
    <n v="7.4400000000000008E-2"/>
    <n v="12031"/>
    <x v="0"/>
  </r>
  <r>
    <d v="2025-06-02T00:00:00"/>
    <s v="Instagram"/>
    <n v="618"/>
    <n v="264"/>
    <n v="285164"/>
    <n v="4.8600000000000004E-2"/>
    <n v="15128"/>
    <x v="0"/>
  </r>
  <r>
    <d v="2025-06-02T00:00:00"/>
    <s v="Twitter"/>
    <n v="1419"/>
    <n v="293"/>
    <n v="116632"/>
    <n v="6.93E-2"/>
    <n v="11826"/>
    <x v="0"/>
  </r>
  <r>
    <d v="2025-06-02T00:00:00"/>
    <s v="YouTube"/>
    <n v="637"/>
    <n v="68"/>
    <n v="115694"/>
    <n v="9.9900000000000003E-2"/>
    <n v="12562"/>
    <x v="0"/>
  </r>
  <r>
    <d v="2025-06-09T00:00:00"/>
    <s v="Instagram"/>
    <n v="917"/>
    <n v="187"/>
    <n v="64444"/>
    <n v="5.2199999999999996E-2"/>
    <n v="13013"/>
    <x v="0"/>
  </r>
  <r>
    <d v="2025-06-09T00:00:00"/>
    <s v="Twitter"/>
    <n v="810"/>
    <n v="232"/>
    <n v="362559"/>
    <n v="5.1699999999999996E-2"/>
    <n v="12937"/>
    <x v="0"/>
  </r>
  <r>
    <d v="2025-06-09T00:00:00"/>
    <s v="YouTube"/>
    <n v="1183"/>
    <n v="248"/>
    <n v="226881"/>
    <n v="5.1699999999999996E-2"/>
    <n v="14534"/>
    <x v="0"/>
  </r>
  <r>
    <d v="2025-06-16T00:00:00"/>
    <s v="Instagram"/>
    <n v="765"/>
    <n v="67"/>
    <n v="283537"/>
    <n v="6.1799999999999994E-2"/>
    <n v="8182"/>
    <x v="0"/>
  </r>
  <r>
    <d v="2025-06-16T00:00:00"/>
    <s v="Twitter"/>
    <n v="540"/>
    <n v="215"/>
    <n v="62837"/>
    <n v="5.2999999999999999E-2"/>
    <n v="10615"/>
    <x v="0"/>
  </r>
  <r>
    <d v="2025-06-16T00:00:00"/>
    <s v="YouTube"/>
    <n v="1145"/>
    <n v="151"/>
    <n v="182759"/>
    <n v="5.9900000000000002E-2"/>
    <n v="20109"/>
    <x v="0"/>
  </r>
  <r>
    <d v="2025-06-23T00:00:00"/>
    <s v="Instagram"/>
    <n v="564"/>
    <n v="244"/>
    <n v="279405"/>
    <n v="8.43E-2"/>
    <n v="26024"/>
    <x v="0"/>
  </r>
  <r>
    <d v="2025-06-23T00:00:00"/>
    <s v="Twitter"/>
    <n v="668"/>
    <n v="124"/>
    <n v="257485"/>
    <n v="7.5499999999999998E-2"/>
    <n v="26730"/>
    <x v="0"/>
  </r>
  <r>
    <d v="2025-06-23T00:00:00"/>
    <s v="YouTube"/>
    <n v="761"/>
    <n v="241"/>
    <n v="154977"/>
    <n v="5.6299999999999996E-2"/>
    <n v="10563"/>
    <x v="0"/>
  </r>
  <r>
    <d v="2025-06-30T00:00:00"/>
    <s v="Instagram"/>
    <n v="593"/>
    <n v="108"/>
    <n v="216500"/>
    <n v="4.7100000000000003E-2"/>
    <n v="27575"/>
    <x v="0"/>
  </r>
  <r>
    <d v="2025-06-30T00:00:00"/>
    <s v="Twitter"/>
    <n v="1349"/>
    <n v="115"/>
    <n v="102102"/>
    <n v="5.28E-2"/>
    <n v="14479"/>
    <x v="0"/>
  </r>
  <r>
    <d v="2025-06-30T00:00:00"/>
    <s v="YouTube"/>
    <n v="693"/>
    <n v="97"/>
    <n v="92025"/>
    <n v="5.9500000000000004E-2"/>
    <n v="15915"/>
    <x v="0"/>
  </r>
  <r>
    <d v="2025-07-07T00:00:00"/>
    <s v="Instagram"/>
    <n v="974"/>
    <n v="143"/>
    <n v="247965"/>
    <n v="9.98E-2"/>
    <n v="12767"/>
    <x v="0"/>
  </r>
  <r>
    <d v="2025-07-07T00:00:00"/>
    <s v="Twitter"/>
    <n v="1155"/>
    <n v="122"/>
    <n v="387352"/>
    <n v="9.9299999999999999E-2"/>
    <n v="12170"/>
    <x v="0"/>
  </r>
  <r>
    <d v="2025-07-07T00:00:00"/>
    <s v="YouTube"/>
    <n v="1051"/>
    <n v="246"/>
    <n v="253985"/>
    <n v="9.0800000000000006E-2"/>
    <n v="7245"/>
    <x v="0"/>
  </r>
  <r>
    <d v="2025-07-14T00:00:00"/>
    <s v="Instagram"/>
    <n v="1457"/>
    <n v="183"/>
    <n v="129640"/>
    <n v="7.980000000000001E-2"/>
    <n v="12985"/>
    <x v="0"/>
  </r>
  <r>
    <d v="2025-07-14T00:00:00"/>
    <s v="Twitter"/>
    <n v="670"/>
    <n v="242"/>
    <n v="281913"/>
    <n v="9.6199999999999994E-2"/>
    <n v="16377"/>
    <x v="0"/>
  </r>
  <r>
    <d v="2025-07-14T00:00:00"/>
    <s v="YouTube"/>
    <n v="1111"/>
    <n v="159"/>
    <n v="360770"/>
    <n v="8.7100000000000011E-2"/>
    <n v="11453"/>
    <x v="0"/>
  </r>
  <r>
    <d v="2025-07-21T00:00:00"/>
    <s v="Instagram"/>
    <n v="1197"/>
    <n v="246"/>
    <n v="127273"/>
    <n v="6.6900000000000001E-2"/>
    <n v="12323"/>
    <x v="0"/>
  </r>
  <r>
    <d v="2025-07-21T00:00:00"/>
    <s v="Twitter"/>
    <n v="754"/>
    <n v="150"/>
    <n v="189622"/>
    <n v="4.2500000000000003E-2"/>
    <n v="11911"/>
    <x v="0"/>
  </r>
  <r>
    <d v="2025-07-21T00:00:00"/>
    <s v="YouTube"/>
    <n v="1246"/>
    <n v="107"/>
    <n v="350949"/>
    <n v="4.9800000000000004E-2"/>
    <n v="27809"/>
    <x v="0"/>
  </r>
  <r>
    <d v="2025-07-28T00:00:00"/>
    <s v="Instagram"/>
    <n v="780"/>
    <n v="213"/>
    <n v="121431"/>
    <n v="4.9699999999999994E-2"/>
    <n v="21464"/>
    <x v="0"/>
  </r>
  <r>
    <d v="2025-07-28T00:00:00"/>
    <s v="Twitter"/>
    <n v="1425"/>
    <n v="143"/>
    <n v="116742"/>
    <n v="3.7100000000000001E-2"/>
    <n v="27126"/>
    <x v="0"/>
  </r>
  <r>
    <d v="2025-07-28T00:00:00"/>
    <s v="YouTube"/>
    <n v="1490"/>
    <n v="103"/>
    <n v="81184"/>
    <n v="7.7899999999999997E-2"/>
    <n v="10681"/>
    <x v="0"/>
  </r>
  <r>
    <d v="2025-08-04T00:00:00"/>
    <s v="Instagram"/>
    <n v="949"/>
    <n v="282"/>
    <n v="87126"/>
    <n v="4.9599999999999998E-2"/>
    <n v="5413"/>
    <x v="0"/>
  </r>
  <r>
    <d v="2025-08-04T00:00:00"/>
    <s v="Twitter"/>
    <n v="640"/>
    <n v="141"/>
    <n v="267546"/>
    <n v="8.5800000000000001E-2"/>
    <n v="25058"/>
    <x v="0"/>
  </r>
  <r>
    <d v="2025-08-04T00:00:00"/>
    <s v="YouTube"/>
    <n v="616"/>
    <n v="93"/>
    <n v="133082"/>
    <n v="8.5099999999999995E-2"/>
    <n v="18303"/>
    <x v="0"/>
  </r>
  <r>
    <d v="2025-08-11T00:00:00"/>
    <s v="Instagram"/>
    <n v="1080"/>
    <n v="184"/>
    <n v="340557"/>
    <n v="5.4100000000000002E-2"/>
    <n v="5526"/>
    <x v="0"/>
  </r>
  <r>
    <d v="2025-08-11T00:00:00"/>
    <s v="Twitter"/>
    <n v="938"/>
    <n v="236"/>
    <n v="116472"/>
    <n v="8.72E-2"/>
    <n v="17460"/>
    <x v="0"/>
  </r>
  <r>
    <d v="2025-08-11T00:00:00"/>
    <s v="YouTube"/>
    <n v="1007"/>
    <n v="258"/>
    <n v="113412"/>
    <n v="7.7100000000000002E-2"/>
    <n v="14475"/>
    <x v="0"/>
  </r>
  <r>
    <d v="2025-08-18T00:00:00"/>
    <s v="Instagram"/>
    <n v="541"/>
    <n v="208"/>
    <n v="157547"/>
    <n v="8.3499999999999991E-2"/>
    <n v="20162"/>
    <x v="0"/>
  </r>
  <r>
    <d v="2025-08-18T00:00:00"/>
    <s v="Twitter"/>
    <n v="745"/>
    <n v="98"/>
    <n v="354816"/>
    <n v="4.0300000000000002E-2"/>
    <n v="17103"/>
    <x v="0"/>
  </r>
  <r>
    <d v="2025-08-18T00:00:00"/>
    <s v="YouTube"/>
    <n v="936"/>
    <n v="97"/>
    <n v="151799"/>
    <n v="9.3699999999999992E-2"/>
    <n v="15461"/>
    <x v="0"/>
  </r>
  <r>
    <d v="2025-08-25T00:00:00"/>
    <s v="Instagram"/>
    <n v="1183"/>
    <n v="223"/>
    <n v="143811"/>
    <n v="6.0700000000000004E-2"/>
    <n v="22103"/>
    <x v="0"/>
  </r>
  <r>
    <d v="2025-08-25T00:00:00"/>
    <s v="Twitter"/>
    <n v="1413"/>
    <n v="245"/>
    <n v="296450"/>
    <n v="6.5199999999999994E-2"/>
    <n v="11625"/>
    <x v="0"/>
  </r>
  <r>
    <d v="2025-08-25T00:00:00"/>
    <s v="YouTube"/>
    <n v="791"/>
    <n v="273"/>
    <n v="144049"/>
    <n v="3.0800000000000001E-2"/>
    <n v="5281"/>
    <x v="0"/>
  </r>
  <r>
    <d v="2025-09-01T00:00:00"/>
    <s v="Instagram"/>
    <n v="1052"/>
    <n v="180"/>
    <n v="272534"/>
    <n v="5.3399999999999996E-2"/>
    <n v="13424"/>
    <x v="0"/>
  </r>
  <r>
    <d v="2025-09-01T00:00:00"/>
    <s v="Twitter"/>
    <n v="572"/>
    <n v="270"/>
    <n v="82265"/>
    <n v="3.6499999999999998E-2"/>
    <n v="13140"/>
    <x v="0"/>
  </r>
  <r>
    <d v="2025-09-01T00:00:00"/>
    <s v="YouTube"/>
    <n v="503"/>
    <n v="253"/>
    <n v="313562"/>
    <n v="4.1799999999999997E-2"/>
    <n v="19538"/>
    <x v="0"/>
  </r>
  <r>
    <d v="2025-09-08T00:00:00"/>
    <s v="Instagram"/>
    <n v="1017"/>
    <n v="197"/>
    <n v="89918"/>
    <n v="3.9100000000000003E-2"/>
    <n v="7881"/>
    <x v="0"/>
  </r>
  <r>
    <d v="2025-09-08T00:00:00"/>
    <s v="Twitter"/>
    <n v="860"/>
    <n v="244"/>
    <n v="348686"/>
    <n v="5.1200000000000002E-2"/>
    <n v="1141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9D4326-88E7-4F4B-B6AD-9F41E3FDAC5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G6" firstHeaderRow="0" firstDataRow="1" firstDataCol="1"/>
  <pivotFields count="17">
    <pivotField showAll="0"/>
    <pivotField showAll="0"/>
    <pivotField numFmtId="164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numFmtId="10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9" baseField="0" baseItem="0"/>
    <dataField name="Average of Impressions" fld="9" subtotal="average" baseField="0" baseItem="1" numFmtId="2"/>
    <dataField name="Average of Likes" fld="6" subtotal="average" baseField="0" baseItem="1" numFmtId="2"/>
    <dataField name="Sum of Likes" fld="6" baseField="0" baseItem="0"/>
    <dataField name="Sum of Clicks" fld="11" baseField="0" baseItem="0"/>
    <dataField name="Average of Clicks" fld="11" subtotal="average" baseField="0" baseItem="1" numFmtId="2"/>
  </dataFields>
  <formats count="6">
    <format dxfId="19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7">
      <pivotArea field="14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5">
      <pivotArea grandRow="1" outline="0" collapsedLevelsAreSubtotals="1" fieldPosition="0"/>
    </format>
    <format dxfId="1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5DF21-5F94-4B85-A19F-06ED057E114B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7" firstHeaderRow="1" firstDataRow="2" firstDataCol="1"/>
  <pivotFields count="17">
    <pivotField showAll="0"/>
    <pivotField showAll="0"/>
    <pivotField numFmtId="164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Average of Engagment Rate" fld="12" subtotal="average" baseField="14" baseItem="0" numFmtId="10"/>
  </dataFields>
  <formats count="14">
    <format dxfId="13">
      <pivotArea field="14" type="button" dataOnly="0" labelOnly="1" outline="0" axis="axisRow" fieldPosition="0"/>
    </format>
    <format dxfId="12">
      <pivotArea dataOnly="0" labelOnly="1" fieldPosition="0">
        <references count="1">
          <reference field="3" count="0"/>
        </references>
      </pivotArea>
    </format>
    <format dxfId="11">
      <pivotArea dataOnly="0" labelOnly="1" grandCol="1" outline="0" fieldPosition="0"/>
    </format>
    <format dxfId="10">
      <pivotArea field="14" type="button" dataOnly="0" labelOnly="1" outline="0" axis="axisRow" fieldPosition="0"/>
    </format>
    <format dxfId="9">
      <pivotArea dataOnly="0" labelOnly="1" fieldPosition="0">
        <references count="1">
          <reference field="3" count="0"/>
        </references>
      </pivotArea>
    </format>
    <format dxfId="8">
      <pivotArea dataOnly="0" labelOnly="1" grandCol="1" outline="0" fieldPosition="0"/>
    </format>
    <format dxfId="7">
      <pivotArea type="origin" dataOnly="0" labelOnly="1" outline="0" fieldPosition="0"/>
    </format>
    <format dxfId="6">
      <pivotArea field="3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4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Col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36A252-3FDE-421F-A493-631CAF03A072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:D6" firstHeaderRow="1" firstDataRow="1" firstDataCol="1"/>
  <pivotFields count="8">
    <pivotField numFmtId="164" showAll="0"/>
    <pivotField showAll="0"/>
    <pivotField showAll="0"/>
    <pivotField showAll="0"/>
    <pivotField showAll="0"/>
    <pivotField numFmtId="10" showAll="0"/>
    <pivotField dataField="1" showAll="0"/>
    <pivotField axis="axisRow" showAll="0">
      <items count="6">
        <item x="3"/>
        <item x="4"/>
        <item h="1" x="0"/>
        <item x="1"/>
        <item x="2"/>
        <item t="default"/>
      </items>
    </pivotField>
  </pivotFields>
  <rowFields count="1">
    <field x="7"/>
  </rowFields>
  <rowItems count="5">
    <i>
      <x/>
    </i>
    <i>
      <x v="1"/>
    </i>
    <i>
      <x v="3"/>
    </i>
    <i>
      <x v="4"/>
    </i>
    <i t="grand">
      <x/>
    </i>
  </rowItems>
  <colItems count="1">
    <i/>
  </colItems>
  <dataFields count="1">
    <dataField name="Sum of Ad_Spend" fld="6" baseField="0" baseItem="0"/>
  </dataFields>
  <formats count="4">
    <format dxfId="23">
      <pivotArea field="7" type="button" dataOnly="0" labelOnly="1" outline="0" axis="axisRow" fieldPosition="0"/>
    </format>
    <format dxfId="22">
      <pivotArea dataOnly="0" labelOnly="1" outline="0" axis="axisValues" fieldPosition="0"/>
    </format>
    <format dxfId="21">
      <pivotArea grandRow="1" outline="0" collapsedLevelsAreSubtotals="1" fieldPosition="0"/>
    </format>
    <format dxfId="2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20C5C-48BF-4DF5-9BBD-7393526DADE0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17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dataField="1"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Engagment" fld="13" baseField="0" baseItem="0"/>
  </dataFields>
  <formats count="4">
    <format dxfId="27">
      <pivotArea field="14" type="button" dataOnly="0" labelOnly="1" outline="0" axis="axisRow" fieldPosition="0"/>
    </format>
    <format dxfId="26">
      <pivotArea dataOnly="0" labelOnly="1" outline="0" axis="axisValues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0E7CF-5561-44FB-90F4-9A033515A0BC}">
  <dimension ref="A1:G1000"/>
  <sheetViews>
    <sheetView workbookViewId="0">
      <selection activeCell="E12" sqref="E12"/>
    </sheetView>
  </sheetViews>
  <sheetFormatPr defaultColWidth="14.44140625" defaultRowHeight="15" customHeight="1"/>
  <cols>
    <col min="1" max="1" width="17.21875" style="3" customWidth="1"/>
    <col min="2" max="2" width="12.44140625" style="3" customWidth="1"/>
    <col min="3" max="3" width="13.88671875" style="3" customWidth="1"/>
    <col min="4" max="4" width="15.44140625" style="3" customWidth="1"/>
    <col min="5" max="5" width="14.44140625" style="3" customWidth="1"/>
    <col min="6" max="6" width="21.6640625" style="3" customWidth="1"/>
    <col min="7" max="7" width="31.6640625" style="3" customWidth="1"/>
    <col min="8" max="26" width="8.6640625" style="3" customWidth="1"/>
    <col min="27" max="16384" width="14.44140625" style="3"/>
  </cols>
  <sheetData>
    <row r="1" spans="1:7" ht="14.4">
      <c r="A1" s="8" t="s">
        <v>13</v>
      </c>
      <c r="B1" s="8" t="s">
        <v>344</v>
      </c>
      <c r="C1" s="8" t="s">
        <v>345</v>
      </c>
      <c r="D1" s="8" t="s">
        <v>346</v>
      </c>
      <c r="E1" s="8" t="s">
        <v>347</v>
      </c>
      <c r="F1" s="8" t="s">
        <v>348</v>
      </c>
      <c r="G1" s="8" t="s">
        <v>349</v>
      </c>
    </row>
    <row r="2" spans="1:7" ht="14.4">
      <c r="A2" s="3" t="s">
        <v>57</v>
      </c>
      <c r="B2" s="7">
        <v>45458</v>
      </c>
      <c r="C2" s="7">
        <v>45488</v>
      </c>
      <c r="D2" s="3" t="s">
        <v>350</v>
      </c>
      <c r="E2" s="3">
        <v>175000</v>
      </c>
      <c r="F2" s="3" t="s">
        <v>351</v>
      </c>
      <c r="G2" s="3" t="s">
        <v>352</v>
      </c>
    </row>
    <row r="3" spans="1:7" ht="14.4">
      <c r="A3" s="3" t="s">
        <v>54</v>
      </c>
      <c r="B3" s="7">
        <v>45627</v>
      </c>
      <c r="C3" s="7">
        <v>45657</v>
      </c>
      <c r="D3" s="3" t="s">
        <v>353</v>
      </c>
      <c r="E3" s="3">
        <v>225000</v>
      </c>
      <c r="F3" s="3" t="s">
        <v>354</v>
      </c>
      <c r="G3" s="3" t="s">
        <v>355</v>
      </c>
    </row>
    <row r="4" spans="1:7" ht="14.4">
      <c r="A4" s="3" t="s">
        <v>18</v>
      </c>
      <c r="B4" s="7">
        <v>45667</v>
      </c>
      <c r="C4" s="7">
        <v>45698</v>
      </c>
      <c r="D4" s="3" t="s">
        <v>356</v>
      </c>
      <c r="E4" s="3">
        <v>200000</v>
      </c>
      <c r="F4" s="3" t="s">
        <v>357</v>
      </c>
      <c r="G4" s="3" t="s">
        <v>358</v>
      </c>
    </row>
    <row r="5" spans="1:7" ht="14.4">
      <c r="A5" s="3" t="s">
        <v>23</v>
      </c>
      <c r="B5" s="7">
        <v>45717</v>
      </c>
      <c r="C5" s="7">
        <v>45747</v>
      </c>
      <c r="D5" s="3" t="s">
        <v>359</v>
      </c>
      <c r="E5" s="3">
        <v>160000</v>
      </c>
      <c r="F5" s="3" t="s">
        <v>360</v>
      </c>
      <c r="G5" s="3" t="s">
        <v>361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64F6-C8F6-4EA2-8BD8-C68C52A7A19E}">
  <dimension ref="A1:Q1000"/>
  <sheetViews>
    <sheetView topLeftCell="A4" workbookViewId="0">
      <selection activeCell="D2" sqref="D2"/>
    </sheetView>
  </sheetViews>
  <sheetFormatPr defaultColWidth="14.44140625" defaultRowHeight="15" customHeight="1"/>
  <cols>
    <col min="1" max="1" width="8.77734375" style="3" customWidth="1"/>
    <col min="2" max="2" width="10.6640625" style="3" customWidth="1"/>
    <col min="3" max="3" width="11.109375" style="7" customWidth="1"/>
    <col min="4" max="4" width="15.88671875" style="7" customWidth="1"/>
    <col min="5" max="5" width="8.6640625" style="3" customWidth="1"/>
    <col min="6" max="6" width="42.33203125" style="3" customWidth="1"/>
    <col min="7" max="7" width="6.5546875" style="3" customWidth="1"/>
    <col min="8" max="8" width="7.5546875" style="3" customWidth="1"/>
    <col min="9" max="9" width="11" style="3" customWidth="1"/>
    <col min="10" max="10" width="11.5546875" style="3" customWidth="1"/>
    <col min="11" max="11" width="8.6640625" style="3" customWidth="1"/>
    <col min="12" max="12" width="7.21875" style="3" customWidth="1"/>
    <col min="13" max="13" width="17.21875" style="3" customWidth="1"/>
    <col min="14" max="14" width="16.5546875" style="3" customWidth="1"/>
    <col min="15" max="15" width="19" style="3" customWidth="1"/>
    <col min="16" max="16" width="21" style="3" customWidth="1"/>
    <col min="17" max="17" width="19.21875" style="3" customWidth="1"/>
    <col min="18" max="28" width="8.6640625" style="3" customWidth="1"/>
    <col min="29" max="16384" width="14.44140625" style="3"/>
  </cols>
  <sheetData>
    <row r="1" spans="1:17" ht="18" customHeight="1">
      <c r="A1" s="28" t="s">
        <v>0</v>
      </c>
      <c r="B1" s="28" t="s">
        <v>1</v>
      </c>
      <c r="C1" s="29" t="s">
        <v>2</v>
      </c>
      <c r="D1" s="30" t="s">
        <v>370</v>
      </c>
      <c r="E1" s="28" t="s">
        <v>3</v>
      </c>
      <c r="F1" s="28" t="s">
        <v>4</v>
      </c>
      <c r="G1" s="28" t="s">
        <v>5</v>
      </c>
      <c r="H1" s="28" t="s">
        <v>6</v>
      </c>
      <c r="I1" s="28" t="s">
        <v>7</v>
      </c>
      <c r="J1" s="28" t="s">
        <v>8</v>
      </c>
      <c r="K1" s="28" t="s">
        <v>9</v>
      </c>
      <c r="L1" s="28" t="s">
        <v>10</v>
      </c>
      <c r="M1" s="28" t="s">
        <v>11</v>
      </c>
      <c r="N1" s="28" t="s">
        <v>12</v>
      </c>
      <c r="O1" s="28" t="s">
        <v>13</v>
      </c>
      <c r="P1" s="31" t="s">
        <v>393</v>
      </c>
      <c r="Q1" s="32" t="s">
        <v>394</v>
      </c>
    </row>
    <row r="2" spans="1:17" ht="14.4">
      <c r="A2" s="1" t="s">
        <v>14</v>
      </c>
      <c r="B2" s="1" t="s">
        <v>15</v>
      </c>
      <c r="C2" s="4">
        <v>45781</v>
      </c>
      <c r="D2" s="4" t="str">
        <f>IF(
   C2 &lt; _xlfn.XLOOKUP(O2,'Campaign Metadata'!A:A,'Campaign Metadata'!B:B),
   "Before",
   IF(
      C2 &lt;= _xlfn.XLOOKUP(O2,'Campaign Metadata'!A:A,'Campaign Metadata'!C:C),
      "During",
      "After"
   )
 )</f>
        <v>After</v>
      </c>
      <c r="E2" s="1" t="s">
        <v>16</v>
      </c>
      <c r="F2" s="1" t="s">
        <v>17</v>
      </c>
      <c r="G2" s="5">
        <v>2414</v>
      </c>
      <c r="H2" s="5">
        <v>245</v>
      </c>
      <c r="I2" s="5">
        <v>137</v>
      </c>
      <c r="J2" s="5">
        <v>21181</v>
      </c>
      <c r="K2" s="5">
        <v>45292</v>
      </c>
      <c r="L2" s="5">
        <v>133</v>
      </c>
      <c r="M2" s="6">
        <f xml:space="preserve"> (G2 +I2 +H2) / J2</f>
        <v>0.13200509890939993</v>
      </c>
      <c r="N2" s="5">
        <f xml:space="preserve"> G2+H2+I2</f>
        <v>2796</v>
      </c>
      <c r="O2" s="1" t="s">
        <v>18</v>
      </c>
      <c r="P2" s="27" t="s">
        <v>19</v>
      </c>
      <c r="Q2" s="27" t="s">
        <v>20</v>
      </c>
    </row>
    <row r="3" spans="1:17" ht="14.4">
      <c r="A3" s="1" t="s">
        <v>21</v>
      </c>
      <c r="B3" s="1" t="s">
        <v>15</v>
      </c>
      <c r="C3" s="4">
        <v>45689</v>
      </c>
      <c r="D3" s="4" t="str">
        <f>IF(
   C3 &lt; _xlfn.XLOOKUP(O3,'Campaign Metadata'!A:A,'Campaign Metadata'!B:B),
   "Before",
   IF(
      C3 &lt;= _xlfn.XLOOKUP(O3,'Campaign Metadata'!A:A,'Campaign Metadata'!C:C),
      "During",
      "After"
   )
 )</f>
        <v>Before</v>
      </c>
      <c r="E3" s="1" t="s">
        <v>16</v>
      </c>
      <c r="F3" s="1" t="s">
        <v>22</v>
      </c>
      <c r="G3" s="5">
        <v>1934</v>
      </c>
      <c r="H3" s="5">
        <v>210</v>
      </c>
      <c r="I3" s="5">
        <v>393</v>
      </c>
      <c r="J3" s="5">
        <v>29129</v>
      </c>
      <c r="K3" s="5">
        <v>73287</v>
      </c>
      <c r="L3" s="5">
        <v>273</v>
      </c>
      <c r="M3" s="6">
        <f t="shared" ref="M3:M66" si="0" xml:space="preserve"> (G3 +I3 +H3) / J3</f>
        <v>8.7095334546328396E-2</v>
      </c>
      <c r="N3" s="5">
        <f t="shared" ref="N3:N66" si="1" xml:space="preserve"> G3+H3+I3</f>
        <v>2537</v>
      </c>
      <c r="O3" s="1" t="s">
        <v>23</v>
      </c>
      <c r="P3" s="27" t="s">
        <v>24</v>
      </c>
      <c r="Q3" s="27"/>
    </row>
    <row r="4" spans="1:17" ht="14.4">
      <c r="A4" s="1" t="s">
        <v>25</v>
      </c>
      <c r="B4" s="1" t="s">
        <v>26</v>
      </c>
      <c r="C4" s="4">
        <v>45629</v>
      </c>
      <c r="D4" s="4" t="str">
        <f>IF(
   C4 &lt; _xlfn.XLOOKUP(O4,'Campaign Metadata'!A:A,'Campaign Metadata'!B:B),
   "Before",
   IF(
      C4 &lt;= _xlfn.XLOOKUP(O4,'Campaign Metadata'!A:A,'Campaign Metadata'!C:C),
      "During",
      "After"
   )
 )</f>
        <v>Before</v>
      </c>
      <c r="E4" s="1" t="s">
        <v>27</v>
      </c>
      <c r="F4" s="1" t="s">
        <v>28</v>
      </c>
      <c r="G4" s="5">
        <v>3092</v>
      </c>
      <c r="H4" s="5">
        <v>177</v>
      </c>
      <c r="I4" s="5">
        <v>81</v>
      </c>
      <c r="J4" s="5">
        <v>47533</v>
      </c>
      <c r="K4" s="5">
        <v>29220</v>
      </c>
      <c r="L4" s="5">
        <v>121</v>
      </c>
      <c r="M4" s="6">
        <f t="shared" si="0"/>
        <v>7.0477352576105018E-2</v>
      </c>
      <c r="N4" s="5">
        <f t="shared" si="1"/>
        <v>3350</v>
      </c>
      <c r="O4" s="1" t="s">
        <v>18</v>
      </c>
      <c r="P4" s="27" t="s">
        <v>29</v>
      </c>
      <c r="Q4" s="27" t="s">
        <v>20</v>
      </c>
    </row>
    <row r="5" spans="1:17" ht="14.4">
      <c r="A5" s="1" t="s">
        <v>30</v>
      </c>
      <c r="B5" s="1" t="s">
        <v>15</v>
      </c>
      <c r="C5" s="4">
        <v>45629</v>
      </c>
      <c r="D5" s="4" t="str">
        <f>IF(
   C5 &lt; _xlfn.XLOOKUP(O5,'Campaign Metadata'!A:A,'Campaign Metadata'!B:B),
   "Before",
   IF(
      C5 &lt;= _xlfn.XLOOKUP(O5,'Campaign Metadata'!A:A,'Campaign Metadata'!C:C),
      "During",
      "After"
   )
 )</f>
        <v>Before</v>
      </c>
      <c r="E5" s="1" t="s">
        <v>16</v>
      </c>
      <c r="F5" s="1" t="s">
        <v>31</v>
      </c>
      <c r="G5" s="5">
        <v>3173</v>
      </c>
      <c r="H5" s="5">
        <v>229</v>
      </c>
      <c r="I5" s="5">
        <v>197</v>
      </c>
      <c r="J5" s="5">
        <v>29604</v>
      </c>
      <c r="K5" s="5">
        <v>21809</v>
      </c>
      <c r="L5" s="5">
        <v>272</v>
      </c>
      <c r="M5" s="6">
        <f t="shared" si="0"/>
        <v>0.1215714092690177</v>
      </c>
      <c r="N5" s="5">
        <f t="shared" si="1"/>
        <v>3599</v>
      </c>
      <c r="O5" s="1" t="s">
        <v>18</v>
      </c>
      <c r="P5" s="27" t="s">
        <v>19</v>
      </c>
      <c r="Q5" s="27" t="s">
        <v>20</v>
      </c>
    </row>
    <row r="6" spans="1:17" ht="14.4">
      <c r="A6" s="1" t="s">
        <v>32</v>
      </c>
      <c r="B6" s="1" t="s">
        <v>33</v>
      </c>
      <c r="C6" s="4">
        <v>45388</v>
      </c>
      <c r="D6" s="4" t="str">
        <f>IF(
   C6 &lt; _xlfn.XLOOKUP(O6,'Campaign Metadata'!A:A,'Campaign Metadata'!B:B),
   "Before",
   IF(
      C6 &lt;= _xlfn.XLOOKUP(O6,'Campaign Metadata'!A:A,'Campaign Metadata'!C:C),
      "During",
      "After"
   )
 )</f>
        <v>Before</v>
      </c>
      <c r="E6" s="1" t="s">
        <v>16</v>
      </c>
      <c r="F6" s="1" t="s">
        <v>34</v>
      </c>
      <c r="G6" s="5">
        <v>2748</v>
      </c>
      <c r="H6" s="5">
        <v>145</v>
      </c>
      <c r="I6" s="5">
        <v>315</v>
      </c>
      <c r="J6" s="5">
        <v>24401</v>
      </c>
      <c r="K6" s="5">
        <v>61182</v>
      </c>
      <c r="L6" s="5">
        <v>200</v>
      </c>
      <c r="M6" s="6">
        <f t="shared" si="0"/>
        <v>0.1314700217204213</v>
      </c>
      <c r="N6" s="5">
        <f t="shared" si="1"/>
        <v>3208</v>
      </c>
      <c r="O6" s="1" t="s">
        <v>23</v>
      </c>
      <c r="P6" s="27" t="s">
        <v>24</v>
      </c>
      <c r="Q6" s="27" t="s">
        <v>35</v>
      </c>
    </row>
    <row r="7" spans="1:17" ht="14.4">
      <c r="A7" s="1" t="s">
        <v>36</v>
      </c>
      <c r="B7" s="1" t="s">
        <v>33</v>
      </c>
      <c r="C7" s="4">
        <v>45456</v>
      </c>
      <c r="D7" s="4" t="str">
        <f>IF(
   C7 &lt; _xlfn.XLOOKUP(O7,'Campaign Metadata'!A:A,'Campaign Metadata'!B:B),
   "Before",
   IF(
      C7 &lt;= _xlfn.XLOOKUP(O7,'Campaign Metadata'!A:A,'Campaign Metadata'!C:C),
      "During",
      "After"
   )
 )</f>
        <v>Before</v>
      </c>
      <c r="E7" s="1" t="s">
        <v>16</v>
      </c>
      <c r="F7" s="1" t="s">
        <v>37</v>
      </c>
      <c r="G7" s="5">
        <v>3882</v>
      </c>
      <c r="H7" s="5">
        <v>239</v>
      </c>
      <c r="I7" s="5">
        <v>275</v>
      </c>
      <c r="J7" s="5">
        <v>58748</v>
      </c>
      <c r="K7" s="5">
        <v>44646</v>
      </c>
      <c r="L7" s="5">
        <v>149</v>
      </c>
      <c r="M7" s="6">
        <f t="shared" si="0"/>
        <v>7.4828079253761837E-2</v>
      </c>
      <c r="N7" s="5">
        <f t="shared" si="1"/>
        <v>4396</v>
      </c>
      <c r="O7" s="1" t="s">
        <v>23</v>
      </c>
      <c r="P7" s="27" t="s">
        <v>24</v>
      </c>
      <c r="Q7" s="27" t="s">
        <v>35</v>
      </c>
    </row>
    <row r="8" spans="1:17" ht="14.4">
      <c r="A8" s="1" t="s">
        <v>38</v>
      </c>
      <c r="B8" s="1" t="s">
        <v>26</v>
      </c>
      <c r="C8" s="4">
        <v>45645</v>
      </c>
      <c r="D8" s="4" t="str">
        <f>IF(
   C8 &lt; _xlfn.XLOOKUP(O8,'Campaign Metadata'!A:A,'Campaign Metadata'!B:B),
   "Before",
   IF(
      C8 &lt;= _xlfn.XLOOKUP(O8,'Campaign Metadata'!A:A,'Campaign Metadata'!C:C),
      "During",
      "After"
   )
 )</f>
        <v>Before</v>
      </c>
      <c r="E8" s="1" t="s">
        <v>27</v>
      </c>
      <c r="F8" s="1" t="s">
        <v>39</v>
      </c>
      <c r="G8" s="5">
        <v>4674</v>
      </c>
      <c r="H8" s="5">
        <v>409</v>
      </c>
      <c r="I8" s="5">
        <v>327</v>
      </c>
      <c r="J8" s="5">
        <v>20756</v>
      </c>
      <c r="K8" s="5">
        <v>63599</v>
      </c>
      <c r="L8" s="5">
        <v>212</v>
      </c>
      <c r="M8" s="6">
        <f t="shared" si="0"/>
        <v>0.26064752360763155</v>
      </c>
      <c r="N8" s="5">
        <f t="shared" si="1"/>
        <v>5410</v>
      </c>
      <c r="O8" s="1" t="s">
        <v>18</v>
      </c>
      <c r="P8" s="27" t="s">
        <v>19</v>
      </c>
      <c r="Q8" s="27" t="s">
        <v>20</v>
      </c>
    </row>
    <row r="9" spans="1:17" ht="14.4">
      <c r="A9" s="1" t="s">
        <v>40</v>
      </c>
      <c r="B9" s="1" t="s">
        <v>26</v>
      </c>
      <c r="C9" s="4">
        <v>45421</v>
      </c>
      <c r="D9" s="4" t="str">
        <f>IF(
   C9 &lt; _xlfn.XLOOKUP(O9,'Campaign Metadata'!A:A,'Campaign Metadata'!B:B),
   "Before",
   IF(
      C9 &lt;= _xlfn.XLOOKUP(O9,'Campaign Metadata'!A:A,'Campaign Metadata'!C:C),
      "During",
      "After"
   )
 )</f>
        <v>Before</v>
      </c>
      <c r="E9" s="1" t="s">
        <v>27</v>
      </c>
      <c r="F9" s="1" t="s">
        <v>31</v>
      </c>
      <c r="G9" s="5">
        <v>1428</v>
      </c>
      <c r="H9" s="5">
        <v>347</v>
      </c>
      <c r="I9" s="5">
        <v>67</v>
      </c>
      <c r="J9" s="5">
        <v>21148</v>
      </c>
      <c r="K9" s="5">
        <v>19712</v>
      </c>
      <c r="L9" s="5">
        <v>120</v>
      </c>
      <c r="M9" s="6">
        <f t="shared" si="0"/>
        <v>8.7100435029317191E-2</v>
      </c>
      <c r="N9" s="5">
        <f t="shared" si="1"/>
        <v>1842</v>
      </c>
      <c r="O9" s="1" t="s">
        <v>18</v>
      </c>
      <c r="P9" s="27" t="s">
        <v>24</v>
      </c>
      <c r="Q9" s="27" t="s">
        <v>29</v>
      </c>
    </row>
    <row r="10" spans="1:17" ht="14.4">
      <c r="A10" s="1" t="s">
        <v>41</v>
      </c>
      <c r="B10" s="1" t="s">
        <v>26</v>
      </c>
      <c r="C10" s="4">
        <v>45823</v>
      </c>
      <c r="D10" s="4" t="str">
        <f>IF(
   C10 &lt; _xlfn.XLOOKUP(O10,'Campaign Metadata'!A:A,'Campaign Metadata'!B:B),
   "Before",
   IF(
      C10 &lt;= _xlfn.XLOOKUP(O10,'Campaign Metadata'!A:A,'Campaign Metadata'!C:C),
      "During",
      "After"
   )
 )</f>
        <v>After</v>
      </c>
      <c r="E10" s="1" t="s">
        <v>16</v>
      </c>
      <c r="F10" s="1" t="s">
        <v>42</v>
      </c>
      <c r="G10" s="5">
        <v>4432</v>
      </c>
      <c r="H10" s="5">
        <v>223</v>
      </c>
      <c r="I10" s="5">
        <v>299</v>
      </c>
      <c r="J10" s="5">
        <v>59016</v>
      </c>
      <c r="K10" s="5">
        <v>21742</v>
      </c>
      <c r="L10" s="5">
        <v>171</v>
      </c>
      <c r="M10" s="6">
        <f t="shared" si="0"/>
        <v>8.3943337400027115E-2</v>
      </c>
      <c r="N10" s="5">
        <f t="shared" si="1"/>
        <v>4954</v>
      </c>
      <c r="O10" s="1" t="s">
        <v>18</v>
      </c>
      <c r="P10" s="27" t="s">
        <v>20</v>
      </c>
      <c r="Q10" s="27"/>
    </row>
    <row r="11" spans="1:17" ht="14.4">
      <c r="A11" s="1" t="s">
        <v>43</v>
      </c>
      <c r="B11" s="1" t="s">
        <v>26</v>
      </c>
      <c r="C11" s="4">
        <v>45630</v>
      </c>
      <c r="D11" s="4" t="str">
        <f>IF(
   C11 &lt; _xlfn.XLOOKUP(O11,'Campaign Metadata'!A:A,'Campaign Metadata'!B:B),
   "Before",
   IF(
      C11 &lt;= _xlfn.XLOOKUP(O11,'Campaign Metadata'!A:A,'Campaign Metadata'!C:C),
      "During",
      "After"
   )
 )</f>
        <v>Before</v>
      </c>
      <c r="E11" s="1" t="s">
        <v>16</v>
      </c>
      <c r="F11" s="1" t="s">
        <v>31</v>
      </c>
      <c r="G11" s="5">
        <v>2357</v>
      </c>
      <c r="H11" s="5">
        <v>274</v>
      </c>
      <c r="I11" s="5">
        <v>172</v>
      </c>
      <c r="J11" s="5">
        <v>21566</v>
      </c>
      <c r="K11" s="5">
        <v>66829</v>
      </c>
      <c r="L11" s="5">
        <v>284</v>
      </c>
      <c r="M11" s="6">
        <f t="shared" si="0"/>
        <v>0.12997310581470833</v>
      </c>
      <c r="N11" s="5">
        <f t="shared" si="1"/>
        <v>2803</v>
      </c>
      <c r="O11" s="1" t="s">
        <v>18</v>
      </c>
      <c r="P11" s="27" t="s">
        <v>20</v>
      </c>
      <c r="Q11" s="27"/>
    </row>
    <row r="12" spans="1:17" ht="14.4">
      <c r="A12" s="1" t="s">
        <v>44</v>
      </c>
      <c r="B12" s="1" t="s">
        <v>26</v>
      </c>
      <c r="C12" s="4">
        <v>45357</v>
      </c>
      <c r="D12" s="4" t="str">
        <f>IF(
   C12 &lt; _xlfn.XLOOKUP(O12,'Campaign Metadata'!A:A,'Campaign Metadata'!B:B),
   "Before",
   IF(
      C12 &lt;= _xlfn.XLOOKUP(O12,'Campaign Metadata'!A:A,'Campaign Metadata'!C:C),
      "During",
      "After"
   )
 )</f>
        <v>Before</v>
      </c>
      <c r="E12" s="1" t="s">
        <v>16</v>
      </c>
      <c r="F12" s="1" t="s">
        <v>17</v>
      </c>
      <c r="G12" s="5">
        <v>1971</v>
      </c>
      <c r="H12" s="5">
        <v>370</v>
      </c>
      <c r="I12" s="5">
        <v>306</v>
      </c>
      <c r="J12" s="5">
        <v>31316</v>
      </c>
      <c r="K12" s="5">
        <v>27897</v>
      </c>
      <c r="L12" s="5">
        <v>88</v>
      </c>
      <c r="M12" s="6">
        <f t="shared" si="0"/>
        <v>8.4525482181632389E-2</v>
      </c>
      <c r="N12" s="5">
        <f t="shared" si="1"/>
        <v>2647</v>
      </c>
      <c r="O12" s="1" t="s">
        <v>23</v>
      </c>
      <c r="P12" s="27" t="s">
        <v>19</v>
      </c>
      <c r="Q12" s="27"/>
    </row>
    <row r="13" spans="1:17" ht="14.4">
      <c r="A13" s="1" t="s">
        <v>45</v>
      </c>
      <c r="B13" s="1" t="s">
        <v>15</v>
      </c>
      <c r="C13" s="4">
        <v>45426</v>
      </c>
      <c r="D13" s="4" t="str">
        <f>IF(
   C13 &lt; _xlfn.XLOOKUP(O13,'Campaign Metadata'!A:A,'Campaign Metadata'!B:B),
   "Before",
   IF(
      C13 &lt;= _xlfn.XLOOKUP(O13,'Campaign Metadata'!A:A,'Campaign Metadata'!C:C),
      "During",
      "After"
   )
 )</f>
        <v>Before</v>
      </c>
      <c r="E13" s="1" t="s">
        <v>16</v>
      </c>
      <c r="F13" s="1" t="s">
        <v>17</v>
      </c>
      <c r="G13" s="5">
        <v>1485</v>
      </c>
      <c r="H13" s="5">
        <v>353</v>
      </c>
      <c r="I13" s="5">
        <v>244</v>
      </c>
      <c r="J13" s="5">
        <v>38419</v>
      </c>
      <c r="K13" s="5">
        <v>38556</v>
      </c>
      <c r="L13" s="5">
        <v>86</v>
      </c>
      <c r="M13" s="6">
        <f t="shared" si="0"/>
        <v>5.4191936281527367E-2</v>
      </c>
      <c r="N13" s="5">
        <f t="shared" si="1"/>
        <v>2082</v>
      </c>
      <c r="O13" s="1" t="s">
        <v>18</v>
      </c>
      <c r="P13" s="27" t="s">
        <v>19</v>
      </c>
      <c r="Q13" s="27" t="s">
        <v>20</v>
      </c>
    </row>
    <row r="14" spans="1:17" ht="14.4">
      <c r="A14" s="1" t="s">
        <v>46</v>
      </c>
      <c r="B14" s="1" t="s">
        <v>26</v>
      </c>
      <c r="C14" s="4">
        <v>45826</v>
      </c>
      <c r="D14" s="4" t="str">
        <f>IF(
   C14 &lt; _xlfn.XLOOKUP(O14,'Campaign Metadata'!A:A,'Campaign Metadata'!B:B),
   "Before",
   IF(
      C14 &lt;= _xlfn.XLOOKUP(O14,'Campaign Metadata'!A:A,'Campaign Metadata'!C:C),
      "During",
      "After"
   )
 )</f>
        <v>After</v>
      </c>
      <c r="E14" s="1" t="s">
        <v>27</v>
      </c>
      <c r="F14" s="1" t="s">
        <v>17</v>
      </c>
      <c r="G14" s="5">
        <v>3956</v>
      </c>
      <c r="H14" s="5">
        <v>319</v>
      </c>
      <c r="I14" s="5">
        <v>61</v>
      </c>
      <c r="J14" s="5">
        <v>58162</v>
      </c>
      <c r="K14" s="5">
        <v>28720</v>
      </c>
      <c r="L14" s="5">
        <v>213</v>
      </c>
      <c r="M14" s="6">
        <f t="shared" si="0"/>
        <v>7.4550393727863554E-2</v>
      </c>
      <c r="N14" s="5">
        <f t="shared" si="1"/>
        <v>4336</v>
      </c>
      <c r="O14" s="1" t="s">
        <v>18</v>
      </c>
      <c r="P14" s="27" t="s">
        <v>29</v>
      </c>
      <c r="Q14" s="27" t="s">
        <v>20</v>
      </c>
    </row>
    <row r="15" spans="1:17" ht="14.4">
      <c r="A15" s="1" t="s">
        <v>47</v>
      </c>
      <c r="B15" s="1" t="s">
        <v>26</v>
      </c>
      <c r="C15" s="4">
        <v>45573</v>
      </c>
      <c r="D15" s="4" t="str">
        <f>IF(
   C15 &lt; _xlfn.XLOOKUP(O15,'Campaign Metadata'!A:A,'Campaign Metadata'!B:B),
   "Before",
   IF(
      C15 &lt;= _xlfn.XLOOKUP(O15,'Campaign Metadata'!A:A,'Campaign Metadata'!C:C),
      "During",
      "After"
   )
 )</f>
        <v>Before</v>
      </c>
      <c r="E15" s="1" t="s">
        <v>16</v>
      </c>
      <c r="F15" s="1" t="s">
        <v>48</v>
      </c>
      <c r="G15" s="5">
        <v>2460</v>
      </c>
      <c r="H15" s="5">
        <v>409</v>
      </c>
      <c r="I15" s="5">
        <v>253</v>
      </c>
      <c r="J15" s="5">
        <v>36702</v>
      </c>
      <c r="K15" s="5">
        <v>46122</v>
      </c>
      <c r="L15" s="5">
        <v>264</v>
      </c>
      <c r="M15" s="6">
        <f t="shared" si="0"/>
        <v>8.5063484278785892E-2</v>
      </c>
      <c r="N15" s="5">
        <f t="shared" si="1"/>
        <v>3122</v>
      </c>
      <c r="O15" s="1" t="s">
        <v>18</v>
      </c>
      <c r="P15" s="27" t="s">
        <v>20</v>
      </c>
      <c r="Q15" s="27"/>
    </row>
    <row r="16" spans="1:17" ht="14.4">
      <c r="A16" s="1" t="s">
        <v>49</v>
      </c>
      <c r="B16" s="1" t="s">
        <v>26</v>
      </c>
      <c r="C16" s="4">
        <v>45418</v>
      </c>
      <c r="D16" s="4" t="str">
        <f>IF(
   C16 &lt; _xlfn.XLOOKUP(O16,'Campaign Metadata'!A:A,'Campaign Metadata'!B:B),
   "Before",
   IF(
      C16 &lt;= _xlfn.XLOOKUP(O16,'Campaign Metadata'!A:A,'Campaign Metadata'!C:C),
      "During",
      "After"
   )
 )</f>
        <v>Before</v>
      </c>
      <c r="E16" s="1" t="s">
        <v>16</v>
      </c>
      <c r="F16" s="1" t="s">
        <v>50</v>
      </c>
      <c r="G16" s="5">
        <v>3476</v>
      </c>
      <c r="H16" s="5">
        <v>355</v>
      </c>
      <c r="I16" s="5">
        <v>396</v>
      </c>
      <c r="J16" s="5">
        <v>37492</v>
      </c>
      <c r="K16" s="5">
        <v>27285</v>
      </c>
      <c r="L16" s="5">
        <v>179</v>
      </c>
      <c r="M16" s="6">
        <f t="shared" si="0"/>
        <v>0.11274405206444041</v>
      </c>
      <c r="N16" s="5">
        <f t="shared" si="1"/>
        <v>4227</v>
      </c>
      <c r="O16" s="1" t="s">
        <v>18</v>
      </c>
      <c r="P16" s="27" t="s">
        <v>20</v>
      </c>
      <c r="Q16" s="27"/>
    </row>
    <row r="17" spans="1:17" ht="14.4">
      <c r="A17" s="1" t="s">
        <v>51</v>
      </c>
      <c r="B17" s="1" t="s">
        <v>26</v>
      </c>
      <c r="C17" s="4">
        <v>45655</v>
      </c>
      <c r="D17" s="4" t="str">
        <f>IF(
   C17 &lt; _xlfn.XLOOKUP(O17,'Campaign Metadata'!A:A,'Campaign Metadata'!B:B),
   "Before",
   IF(
      C17 &lt;= _xlfn.XLOOKUP(O17,'Campaign Metadata'!A:A,'Campaign Metadata'!C:C),
      "During",
      "After"
   )
 )</f>
        <v>Before</v>
      </c>
      <c r="E17" s="1" t="s">
        <v>27</v>
      </c>
      <c r="F17" s="1" t="s">
        <v>28</v>
      </c>
      <c r="G17" s="5">
        <v>4049</v>
      </c>
      <c r="H17" s="5">
        <v>377</v>
      </c>
      <c r="I17" s="5">
        <v>94</v>
      </c>
      <c r="J17" s="5">
        <v>48182</v>
      </c>
      <c r="K17" s="5">
        <v>42875</v>
      </c>
      <c r="L17" s="5">
        <v>172</v>
      </c>
      <c r="M17" s="6">
        <f t="shared" si="0"/>
        <v>9.3810966751068869E-2</v>
      </c>
      <c r="N17" s="5">
        <f t="shared" si="1"/>
        <v>4520</v>
      </c>
      <c r="O17" s="1" t="s">
        <v>18</v>
      </c>
      <c r="P17" s="27" t="s">
        <v>29</v>
      </c>
      <c r="Q17" s="27" t="s">
        <v>20</v>
      </c>
    </row>
    <row r="18" spans="1:17" ht="14.4">
      <c r="A18" s="1" t="s">
        <v>52</v>
      </c>
      <c r="B18" s="1" t="s">
        <v>26</v>
      </c>
      <c r="C18" s="4">
        <v>45453</v>
      </c>
      <c r="D18" s="4" t="str">
        <f>IF(
   C18 &lt; _xlfn.XLOOKUP(O18,'Campaign Metadata'!A:A,'Campaign Metadata'!B:B),
   "Before",
   IF(
      C18 &lt;= _xlfn.XLOOKUP(O18,'Campaign Metadata'!A:A,'Campaign Metadata'!C:C),
      "During",
      "After"
   )
 )</f>
        <v>Before</v>
      </c>
      <c r="E18" s="1" t="s">
        <v>16</v>
      </c>
      <c r="F18" s="1" t="s">
        <v>37</v>
      </c>
      <c r="G18" s="5">
        <v>1514</v>
      </c>
      <c r="H18" s="5">
        <v>164</v>
      </c>
      <c r="I18" s="5">
        <v>275</v>
      </c>
      <c r="J18" s="5">
        <v>41364</v>
      </c>
      <c r="K18" s="5">
        <v>44389</v>
      </c>
      <c r="L18" s="5">
        <v>83</v>
      </c>
      <c r="M18" s="6">
        <f t="shared" si="0"/>
        <v>4.7214969538729328E-2</v>
      </c>
      <c r="N18" s="5">
        <f t="shared" si="1"/>
        <v>1953</v>
      </c>
      <c r="O18" s="1" t="s">
        <v>18</v>
      </c>
      <c r="P18" s="27" t="s">
        <v>20</v>
      </c>
      <c r="Q18" s="27"/>
    </row>
    <row r="19" spans="1:17" ht="14.4">
      <c r="A19" s="1" t="s">
        <v>53</v>
      </c>
      <c r="B19" s="1" t="s">
        <v>15</v>
      </c>
      <c r="C19" s="4">
        <v>45325</v>
      </c>
      <c r="D19" s="4" t="str">
        <f>IF(
   C19 &lt; _xlfn.XLOOKUP(O19,'Campaign Metadata'!A:A,'Campaign Metadata'!B:B),
   "Before",
   IF(
      C19 &lt;= _xlfn.XLOOKUP(O19,'Campaign Metadata'!A:A,'Campaign Metadata'!C:C),
      "During",
      "After"
   )
 )</f>
        <v>Before</v>
      </c>
      <c r="E19" s="1" t="s">
        <v>27</v>
      </c>
      <c r="F19" s="1" t="s">
        <v>34</v>
      </c>
      <c r="G19" s="5">
        <v>4281</v>
      </c>
      <c r="H19" s="5">
        <v>101</v>
      </c>
      <c r="I19" s="5">
        <v>163</v>
      </c>
      <c r="J19" s="5">
        <v>32278</v>
      </c>
      <c r="K19" s="5">
        <v>53382</v>
      </c>
      <c r="L19" s="5">
        <v>235</v>
      </c>
      <c r="M19" s="6">
        <f t="shared" si="0"/>
        <v>0.1408079806679472</v>
      </c>
      <c r="N19" s="5">
        <f t="shared" si="1"/>
        <v>4545</v>
      </c>
      <c r="O19" s="1" t="s">
        <v>54</v>
      </c>
      <c r="P19" s="27" t="s">
        <v>20</v>
      </c>
      <c r="Q19" s="27"/>
    </row>
    <row r="20" spans="1:17" ht="14.4">
      <c r="A20" s="1" t="s">
        <v>55</v>
      </c>
      <c r="B20" s="1" t="s">
        <v>33</v>
      </c>
      <c r="C20" s="4">
        <v>45458</v>
      </c>
      <c r="D20" s="4" t="str">
        <f>IF(
   C20 &lt; _xlfn.XLOOKUP(O20,'Campaign Metadata'!A:A,'Campaign Metadata'!B:B),
   "Before",
   IF(
      C20 &lt;= _xlfn.XLOOKUP(O20,'Campaign Metadata'!A:A,'Campaign Metadata'!C:C),
      "During",
      "After"
   )
 )</f>
        <v>During</v>
      </c>
      <c r="E20" s="1" t="s">
        <v>56</v>
      </c>
      <c r="F20" s="1" t="s">
        <v>39</v>
      </c>
      <c r="G20" s="5">
        <v>1751</v>
      </c>
      <c r="H20" s="5">
        <v>143</v>
      </c>
      <c r="I20" s="5">
        <v>151</v>
      </c>
      <c r="J20" s="5">
        <v>31826</v>
      </c>
      <c r="K20" s="5">
        <v>47729</v>
      </c>
      <c r="L20" s="5">
        <v>95</v>
      </c>
      <c r="M20" s="6">
        <f t="shared" si="0"/>
        <v>6.4255640042732362E-2</v>
      </c>
      <c r="N20" s="5">
        <f t="shared" si="1"/>
        <v>2045</v>
      </c>
      <c r="O20" s="1" t="s">
        <v>57</v>
      </c>
      <c r="P20" s="27" t="s">
        <v>24</v>
      </c>
      <c r="Q20" s="27" t="s">
        <v>19</v>
      </c>
    </row>
    <row r="21" spans="1:17" ht="15.75" customHeight="1">
      <c r="A21" s="1" t="s">
        <v>58</v>
      </c>
      <c r="B21" s="1" t="s">
        <v>15</v>
      </c>
      <c r="C21" s="4">
        <v>45478</v>
      </c>
      <c r="D21" s="4" t="str">
        <f>IF(
   C21 &lt; _xlfn.XLOOKUP(O21,'Campaign Metadata'!A:A,'Campaign Metadata'!B:B),
   "Before",
   IF(
      C21 &lt;= _xlfn.XLOOKUP(O21,'Campaign Metadata'!A:A,'Campaign Metadata'!C:C),
      "During",
      "After"
   )
 )</f>
        <v>Before</v>
      </c>
      <c r="E21" s="1" t="s">
        <v>16</v>
      </c>
      <c r="F21" s="1" t="s">
        <v>50</v>
      </c>
      <c r="G21" s="5">
        <v>3753</v>
      </c>
      <c r="H21" s="5">
        <v>411</v>
      </c>
      <c r="I21" s="5">
        <v>308</v>
      </c>
      <c r="J21" s="5">
        <v>29138</v>
      </c>
      <c r="K21" s="5">
        <v>27678</v>
      </c>
      <c r="L21" s="5">
        <v>90</v>
      </c>
      <c r="M21" s="6">
        <f t="shared" si="0"/>
        <v>0.15347655981879332</v>
      </c>
      <c r="N21" s="5">
        <f t="shared" si="1"/>
        <v>4472</v>
      </c>
      <c r="O21" s="1" t="s">
        <v>23</v>
      </c>
      <c r="P21" s="27" t="s">
        <v>24</v>
      </c>
      <c r="Q21" s="27"/>
    </row>
    <row r="22" spans="1:17" ht="15.75" customHeight="1">
      <c r="A22" s="1" t="s">
        <v>59</v>
      </c>
      <c r="B22" s="1" t="s">
        <v>15</v>
      </c>
      <c r="C22" s="4">
        <v>45603</v>
      </c>
      <c r="D22" s="4" t="str">
        <f>IF(
   C22 &lt; _xlfn.XLOOKUP(O22,'Campaign Metadata'!A:A,'Campaign Metadata'!B:B),
   "Before",
   IF(
      C22 &lt;= _xlfn.XLOOKUP(O22,'Campaign Metadata'!A:A,'Campaign Metadata'!C:C),
      "During",
      "After"
   )
 )</f>
        <v>Before</v>
      </c>
      <c r="E22" s="1" t="s">
        <v>27</v>
      </c>
      <c r="F22" s="1" t="s">
        <v>31</v>
      </c>
      <c r="G22" s="5">
        <v>1678</v>
      </c>
      <c r="H22" s="5">
        <v>423</v>
      </c>
      <c r="I22" s="5">
        <v>323</v>
      </c>
      <c r="J22" s="5">
        <v>55668</v>
      </c>
      <c r="K22" s="5">
        <v>37945</v>
      </c>
      <c r="L22" s="5">
        <v>230</v>
      </c>
      <c r="M22" s="6">
        <f t="shared" si="0"/>
        <v>4.3543867212761371E-2</v>
      </c>
      <c r="N22" s="5">
        <f t="shared" si="1"/>
        <v>2424</v>
      </c>
      <c r="O22" s="1" t="s">
        <v>54</v>
      </c>
      <c r="P22" s="27" t="s">
        <v>20</v>
      </c>
      <c r="Q22" s="27"/>
    </row>
    <row r="23" spans="1:17" ht="15.75" customHeight="1">
      <c r="A23" s="1" t="s">
        <v>60</v>
      </c>
      <c r="B23" s="1" t="s">
        <v>15</v>
      </c>
      <c r="C23" s="4">
        <v>45823</v>
      </c>
      <c r="D23" s="4" t="str">
        <f>IF(
   C23 &lt; _xlfn.XLOOKUP(O23,'Campaign Metadata'!A:A,'Campaign Metadata'!B:B),
   "Before",
   IF(
      C23 &lt;= _xlfn.XLOOKUP(O23,'Campaign Metadata'!A:A,'Campaign Metadata'!C:C),
      "During",
      "After"
   )
 )</f>
        <v>After</v>
      </c>
      <c r="E23" s="1" t="s">
        <v>16</v>
      </c>
      <c r="F23" s="1" t="s">
        <v>37</v>
      </c>
      <c r="G23" s="5">
        <v>4896</v>
      </c>
      <c r="H23" s="5">
        <v>466</v>
      </c>
      <c r="I23" s="5">
        <v>233</v>
      </c>
      <c r="J23" s="5">
        <v>28621</v>
      </c>
      <c r="K23" s="5">
        <v>34270</v>
      </c>
      <c r="L23" s="5">
        <v>84</v>
      </c>
      <c r="M23" s="6">
        <f t="shared" si="0"/>
        <v>0.19548583208133888</v>
      </c>
      <c r="N23" s="5">
        <f t="shared" si="1"/>
        <v>5595</v>
      </c>
      <c r="O23" s="1" t="s">
        <v>18</v>
      </c>
      <c r="P23" s="27" t="s">
        <v>19</v>
      </c>
      <c r="Q23" s="27" t="s">
        <v>20</v>
      </c>
    </row>
    <row r="24" spans="1:17" ht="15.75" customHeight="1">
      <c r="A24" s="1" t="s">
        <v>61</v>
      </c>
      <c r="B24" s="1" t="s">
        <v>33</v>
      </c>
      <c r="C24" s="4">
        <v>45452</v>
      </c>
      <c r="D24" s="4" t="str">
        <f>IF(
   C24 &lt; _xlfn.XLOOKUP(O24,'Campaign Metadata'!A:A,'Campaign Metadata'!B:B),
   "Before",
   IF(
      C24 &lt;= _xlfn.XLOOKUP(O24,'Campaign Metadata'!A:A,'Campaign Metadata'!C:C),
      "During",
      "After"
   )
 )</f>
        <v>Before</v>
      </c>
      <c r="E24" s="1" t="s">
        <v>56</v>
      </c>
      <c r="F24" s="1" t="s">
        <v>48</v>
      </c>
      <c r="G24" s="5">
        <v>2786</v>
      </c>
      <c r="H24" s="5">
        <v>368</v>
      </c>
      <c r="I24" s="5">
        <v>208</v>
      </c>
      <c r="J24" s="5">
        <v>42000</v>
      </c>
      <c r="K24" s="5">
        <v>39967</v>
      </c>
      <c r="L24" s="5">
        <v>103</v>
      </c>
      <c r="M24" s="6">
        <f t="shared" si="0"/>
        <v>8.0047619047619048E-2</v>
      </c>
      <c r="N24" s="5">
        <f t="shared" si="1"/>
        <v>3362</v>
      </c>
      <c r="O24" s="1" t="s">
        <v>57</v>
      </c>
      <c r="P24" s="27" t="s">
        <v>24</v>
      </c>
      <c r="Q24" s="27" t="s">
        <v>19</v>
      </c>
    </row>
    <row r="25" spans="1:17" ht="15.75" customHeight="1">
      <c r="A25" s="1" t="s">
        <v>62</v>
      </c>
      <c r="B25" s="1" t="s">
        <v>26</v>
      </c>
      <c r="C25" s="4">
        <v>45583</v>
      </c>
      <c r="D25" s="4" t="str">
        <f>IF(
   C25 &lt; _xlfn.XLOOKUP(O25,'Campaign Metadata'!A:A,'Campaign Metadata'!B:B),
   "Before",
   IF(
      C25 &lt;= _xlfn.XLOOKUP(O25,'Campaign Metadata'!A:A,'Campaign Metadata'!C:C),
      "During",
      "After"
   )
 )</f>
        <v>Before</v>
      </c>
      <c r="E25" s="1" t="s">
        <v>16</v>
      </c>
      <c r="F25" s="1" t="s">
        <v>28</v>
      </c>
      <c r="G25" s="5">
        <v>2607</v>
      </c>
      <c r="H25" s="5">
        <v>379</v>
      </c>
      <c r="I25" s="5">
        <v>180</v>
      </c>
      <c r="J25" s="5">
        <v>28712</v>
      </c>
      <c r="K25" s="5">
        <v>61620</v>
      </c>
      <c r="L25" s="5">
        <v>174</v>
      </c>
      <c r="M25" s="6">
        <f t="shared" si="0"/>
        <v>0.11026748397882419</v>
      </c>
      <c r="N25" s="5">
        <f t="shared" si="1"/>
        <v>3166</v>
      </c>
      <c r="O25" s="1" t="s">
        <v>23</v>
      </c>
      <c r="P25" s="27" t="s">
        <v>19</v>
      </c>
      <c r="Q25" s="27"/>
    </row>
    <row r="26" spans="1:17" ht="15.75" customHeight="1">
      <c r="A26" s="1" t="s">
        <v>63</v>
      </c>
      <c r="B26" s="1" t="s">
        <v>33</v>
      </c>
      <c r="C26" s="4">
        <v>45575</v>
      </c>
      <c r="D26" s="4" t="str">
        <f>IF(
   C26 &lt; _xlfn.XLOOKUP(O26,'Campaign Metadata'!A:A,'Campaign Metadata'!B:B),
   "Before",
   IF(
      C26 &lt;= _xlfn.XLOOKUP(O26,'Campaign Metadata'!A:A,'Campaign Metadata'!C:C),
      "During",
      "After"
   )
 )</f>
        <v>After</v>
      </c>
      <c r="E26" s="1" t="s">
        <v>56</v>
      </c>
      <c r="F26" s="1" t="s">
        <v>48</v>
      </c>
      <c r="G26" s="5">
        <v>4013</v>
      </c>
      <c r="H26" s="5">
        <v>320</v>
      </c>
      <c r="I26" s="5">
        <v>92</v>
      </c>
      <c r="J26" s="5">
        <v>54605</v>
      </c>
      <c r="K26" s="5">
        <v>60169</v>
      </c>
      <c r="L26" s="5">
        <v>232</v>
      </c>
      <c r="M26" s="6">
        <f t="shared" si="0"/>
        <v>8.1036535115831879E-2</v>
      </c>
      <c r="N26" s="5">
        <f t="shared" si="1"/>
        <v>4425</v>
      </c>
      <c r="O26" s="1" t="s">
        <v>57</v>
      </c>
      <c r="P26" s="27" t="s">
        <v>24</v>
      </c>
      <c r="Q26" s="27" t="s">
        <v>19</v>
      </c>
    </row>
    <row r="27" spans="1:17" ht="15.75" customHeight="1">
      <c r="A27" s="1" t="s">
        <v>64</v>
      </c>
      <c r="B27" s="1" t="s">
        <v>26</v>
      </c>
      <c r="C27" s="4">
        <v>45791</v>
      </c>
      <c r="D27" s="4" t="str">
        <f>IF(
   C27 &lt; _xlfn.XLOOKUP(O27,'Campaign Metadata'!A:A,'Campaign Metadata'!B:B),
   "Before",
   IF(
      C27 &lt;= _xlfn.XLOOKUP(O27,'Campaign Metadata'!A:A,'Campaign Metadata'!C:C),
      "During",
      "After"
   )
 )</f>
        <v>After</v>
      </c>
      <c r="E27" s="1" t="s">
        <v>27</v>
      </c>
      <c r="F27" s="1" t="s">
        <v>48</v>
      </c>
      <c r="G27" s="5">
        <v>2707</v>
      </c>
      <c r="H27" s="5">
        <v>103</v>
      </c>
      <c r="I27" s="5">
        <v>51</v>
      </c>
      <c r="J27" s="5">
        <v>55302</v>
      </c>
      <c r="K27" s="5">
        <v>18801</v>
      </c>
      <c r="L27" s="5">
        <v>147</v>
      </c>
      <c r="M27" s="6">
        <f t="shared" si="0"/>
        <v>5.173411449857148E-2</v>
      </c>
      <c r="N27" s="5">
        <f t="shared" si="1"/>
        <v>2861</v>
      </c>
      <c r="O27" s="1" t="s">
        <v>18</v>
      </c>
      <c r="P27" s="27" t="s">
        <v>24</v>
      </c>
      <c r="Q27" s="27" t="s">
        <v>29</v>
      </c>
    </row>
    <row r="28" spans="1:17" ht="15.75" customHeight="1">
      <c r="A28" s="1" t="s">
        <v>65</v>
      </c>
      <c r="B28" s="1" t="s">
        <v>15</v>
      </c>
      <c r="C28" s="4">
        <v>45625</v>
      </c>
      <c r="D28" s="4" t="str">
        <f>IF(
   C28 &lt; _xlfn.XLOOKUP(O28,'Campaign Metadata'!A:A,'Campaign Metadata'!B:B),
   "Before",
   IF(
      C28 &lt;= _xlfn.XLOOKUP(O28,'Campaign Metadata'!A:A,'Campaign Metadata'!C:C),
      "During",
      "After"
   )
 )</f>
        <v>Before</v>
      </c>
      <c r="E28" s="1" t="s">
        <v>16</v>
      </c>
      <c r="F28" s="1" t="s">
        <v>37</v>
      </c>
      <c r="G28" s="5">
        <v>2824</v>
      </c>
      <c r="H28" s="5">
        <v>425</v>
      </c>
      <c r="I28" s="5">
        <v>274</v>
      </c>
      <c r="J28" s="5">
        <v>31004</v>
      </c>
      <c r="K28" s="5">
        <v>53488</v>
      </c>
      <c r="L28" s="5">
        <v>268</v>
      </c>
      <c r="M28" s="6">
        <f t="shared" si="0"/>
        <v>0.11363049929041415</v>
      </c>
      <c r="N28" s="5">
        <f t="shared" si="1"/>
        <v>3523</v>
      </c>
      <c r="O28" s="1" t="s">
        <v>18</v>
      </c>
      <c r="P28" s="27" t="s">
        <v>19</v>
      </c>
      <c r="Q28" s="27" t="s">
        <v>20</v>
      </c>
    </row>
    <row r="29" spans="1:17" ht="15.75" customHeight="1">
      <c r="A29" s="1" t="s">
        <v>66</v>
      </c>
      <c r="B29" s="1" t="s">
        <v>33</v>
      </c>
      <c r="C29" s="4">
        <v>45356</v>
      </c>
      <c r="D29" s="4" t="str">
        <f>IF(
   C29 &lt; _xlfn.XLOOKUP(O29,'Campaign Metadata'!A:A,'Campaign Metadata'!B:B),
   "Before",
   IF(
      C29 &lt;= _xlfn.XLOOKUP(O29,'Campaign Metadata'!A:A,'Campaign Metadata'!C:C),
      "During",
      "After"
   )
 )</f>
        <v>Before</v>
      </c>
      <c r="E29" s="1" t="s">
        <v>56</v>
      </c>
      <c r="F29" s="1" t="s">
        <v>22</v>
      </c>
      <c r="G29" s="5">
        <v>3558</v>
      </c>
      <c r="H29" s="5">
        <v>314</v>
      </c>
      <c r="I29" s="5">
        <v>199</v>
      </c>
      <c r="J29" s="5">
        <v>49612</v>
      </c>
      <c r="K29" s="5">
        <v>53929</v>
      </c>
      <c r="L29" s="5">
        <v>206</v>
      </c>
      <c r="M29" s="6">
        <f t="shared" si="0"/>
        <v>8.205676046117874E-2</v>
      </c>
      <c r="N29" s="5">
        <f t="shared" si="1"/>
        <v>4071</v>
      </c>
      <c r="O29" s="1" t="s">
        <v>57</v>
      </c>
      <c r="P29" s="27" t="s">
        <v>24</v>
      </c>
      <c r="Q29" s="27" t="s">
        <v>19</v>
      </c>
    </row>
    <row r="30" spans="1:17" ht="15.75" customHeight="1">
      <c r="A30" s="1" t="s">
        <v>67</v>
      </c>
      <c r="B30" s="1" t="s">
        <v>26</v>
      </c>
      <c r="C30" s="4">
        <v>45734</v>
      </c>
      <c r="D30" s="4" t="str">
        <f>IF(
   C30 &lt; _xlfn.XLOOKUP(O30,'Campaign Metadata'!A:A,'Campaign Metadata'!B:B),
   "Before",
   IF(
      C30 &lt;= _xlfn.XLOOKUP(O30,'Campaign Metadata'!A:A,'Campaign Metadata'!C:C),
      "During",
      "After"
   )
 )</f>
        <v>After</v>
      </c>
      <c r="E30" s="1" t="s">
        <v>27</v>
      </c>
      <c r="F30" s="1" t="s">
        <v>22</v>
      </c>
      <c r="G30" s="5">
        <v>3418</v>
      </c>
      <c r="H30" s="5">
        <v>188</v>
      </c>
      <c r="I30" s="5">
        <v>387</v>
      </c>
      <c r="J30" s="5">
        <v>57431</v>
      </c>
      <c r="K30" s="5">
        <v>36933</v>
      </c>
      <c r="L30" s="5">
        <v>202</v>
      </c>
      <c r="M30" s="6">
        <f t="shared" si="0"/>
        <v>6.9526910553533799E-2</v>
      </c>
      <c r="N30" s="5">
        <f t="shared" si="1"/>
        <v>3993</v>
      </c>
      <c r="O30" s="1" t="s">
        <v>18</v>
      </c>
      <c r="P30" s="27" t="s">
        <v>29</v>
      </c>
      <c r="Q30" s="27" t="s">
        <v>20</v>
      </c>
    </row>
    <row r="31" spans="1:17" ht="15.75" customHeight="1">
      <c r="A31" s="1" t="s">
        <v>68</v>
      </c>
      <c r="B31" s="1" t="s">
        <v>26</v>
      </c>
      <c r="C31" s="4">
        <v>45773</v>
      </c>
      <c r="D31" s="4" t="str">
        <f>IF(
   C31 &lt; _xlfn.XLOOKUP(O31,'Campaign Metadata'!A:A,'Campaign Metadata'!B:B),
   "Before",
   IF(
      C31 &lt;= _xlfn.XLOOKUP(O31,'Campaign Metadata'!A:A,'Campaign Metadata'!C:C),
      "During",
      "After"
   )
 )</f>
        <v>After</v>
      </c>
      <c r="E31" s="1" t="s">
        <v>16</v>
      </c>
      <c r="F31" s="1" t="s">
        <v>17</v>
      </c>
      <c r="G31" s="5">
        <v>2411</v>
      </c>
      <c r="H31" s="5">
        <v>194</v>
      </c>
      <c r="I31" s="5">
        <v>168</v>
      </c>
      <c r="J31" s="5">
        <v>26665</v>
      </c>
      <c r="K31" s="5">
        <v>71699</v>
      </c>
      <c r="L31" s="5">
        <v>197</v>
      </c>
      <c r="M31" s="6">
        <f t="shared" si="0"/>
        <v>0.10399399962497656</v>
      </c>
      <c r="N31" s="5">
        <f t="shared" si="1"/>
        <v>2773</v>
      </c>
      <c r="O31" s="1" t="s">
        <v>18</v>
      </c>
      <c r="P31" s="27" t="s">
        <v>20</v>
      </c>
      <c r="Q31" s="27"/>
    </row>
    <row r="32" spans="1:17" ht="15.75" customHeight="1">
      <c r="A32" s="1" t="s">
        <v>69</v>
      </c>
      <c r="B32" s="1" t="s">
        <v>15</v>
      </c>
      <c r="C32" s="4">
        <v>45658</v>
      </c>
      <c r="D32" s="4" t="str">
        <f>IF(
   C32 &lt; _xlfn.XLOOKUP(O32,'Campaign Metadata'!A:A,'Campaign Metadata'!B:B),
   "Before",
   IF(
      C32 &lt;= _xlfn.XLOOKUP(O32,'Campaign Metadata'!A:A,'Campaign Metadata'!C:C),
      "During",
      "After"
   )
 )</f>
        <v>Before</v>
      </c>
      <c r="E32" s="1" t="s">
        <v>16</v>
      </c>
      <c r="F32" s="1" t="s">
        <v>28</v>
      </c>
      <c r="G32" s="5">
        <v>4036</v>
      </c>
      <c r="H32" s="5">
        <v>112</v>
      </c>
      <c r="I32" s="5">
        <v>382</v>
      </c>
      <c r="J32" s="5">
        <v>56284</v>
      </c>
      <c r="K32" s="5">
        <v>29440</v>
      </c>
      <c r="L32" s="5">
        <v>279</v>
      </c>
      <c r="M32" s="6">
        <f t="shared" si="0"/>
        <v>8.0484684812735408E-2</v>
      </c>
      <c r="N32" s="5">
        <f t="shared" si="1"/>
        <v>4530</v>
      </c>
      <c r="O32" s="1" t="s">
        <v>18</v>
      </c>
      <c r="P32" s="27" t="s">
        <v>19</v>
      </c>
      <c r="Q32" s="27" t="s">
        <v>20</v>
      </c>
    </row>
    <row r="33" spans="1:17" ht="15.75" customHeight="1">
      <c r="A33" s="1" t="s">
        <v>70</v>
      </c>
      <c r="B33" s="1" t="s">
        <v>26</v>
      </c>
      <c r="C33" s="4">
        <v>45419</v>
      </c>
      <c r="D33" s="4" t="str">
        <f>IF(
   C33 &lt; _xlfn.XLOOKUP(O33,'Campaign Metadata'!A:A,'Campaign Metadata'!B:B),
   "Before",
   IF(
      C33 &lt;= _xlfn.XLOOKUP(O33,'Campaign Metadata'!A:A,'Campaign Metadata'!C:C),
      "During",
      "After"
   )
 )</f>
        <v>Before</v>
      </c>
      <c r="E33" s="1" t="s">
        <v>27</v>
      </c>
      <c r="F33" s="1" t="s">
        <v>22</v>
      </c>
      <c r="G33" s="5">
        <v>2776</v>
      </c>
      <c r="H33" s="5">
        <v>307</v>
      </c>
      <c r="I33" s="5">
        <v>178</v>
      </c>
      <c r="J33" s="5">
        <v>43365</v>
      </c>
      <c r="K33" s="5">
        <v>48408</v>
      </c>
      <c r="L33" s="5">
        <v>138</v>
      </c>
      <c r="M33" s="6">
        <f t="shared" si="0"/>
        <v>7.519889311656866E-2</v>
      </c>
      <c r="N33" s="5">
        <f t="shared" si="1"/>
        <v>3261</v>
      </c>
      <c r="O33" s="1" t="s">
        <v>18</v>
      </c>
      <c r="P33" s="27" t="s">
        <v>19</v>
      </c>
      <c r="Q33" s="27" t="s">
        <v>20</v>
      </c>
    </row>
    <row r="34" spans="1:17" ht="15.75" customHeight="1">
      <c r="A34" s="1" t="s">
        <v>71</v>
      </c>
      <c r="B34" s="1" t="s">
        <v>26</v>
      </c>
      <c r="C34" s="4">
        <v>45574</v>
      </c>
      <c r="D34" s="4" t="str">
        <f>IF(
   C34 &lt; _xlfn.XLOOKUP(O34,'Campaign Metadata'!A:A,'Campaign Metadata'!B:B),
   "Before",
   IF(
      C34 &lt;= _xlfn.XLOOKUP(O34,'Campaign Metadata'!A:A,'Campaign Metadata'!C:C),
      "During",
      "After"
   )
 )</f>
        <v>Before</v>
      </c>
      <c r="E34" s="1" t="s">
        <v>27</v>
      </c>
      <c r="F34" s="1" t="s">
        <v>17</v>
      </c>
      <c r="G34" s="5">
        <v>4929</v>
      </c>
      <c r="H34" s="5">
        <v>182</v>
      </c>
      <c r="I34" s="5">
        <v>95</v>
      </c>
      <c r="J34" s="5">
        <v>32181</v>
      </c>
      <c r="K34" s="5">
        <v>31084</v>
      </c>
      <c r="L34" s="5">
        <v>289</v>
      </c>
      <c r="M34" s="6">
        <f t="shared" si="0"/>
        <v>0.16177247444144061</v>
      </c>
      <c r="N34" s="5">
        <f t="shared" si="1"/>
        <v>5206</v>
      </c>
      <c r="O34" s="1" t="s">
        <v>18</v>
      </c>
      <c r="P34" s="27" t="s">
        <v>24</v>
      </c>
      <c r="Q34" s="27" t="s">
        <v>29</v>
      </c>
    </row>
    <row r="35" spans="1:17" ht="15.75" customHeight="1">
      <c r="A35" s="1" t="s">
        <v>72</v>
      </c>
      <c r="B35" s="1" t="s">
        <v>15</v>
      </c>
      <c r="C35" s="4">
        <v>45666</v>
      </c>
      <c r="D35" s="4" t="str">
        <f>IF(
   C35 &lt; _xlfn.XLOOKUP(O35,'Campaign Metadata'!A:A,'Campaign Metadata'!B:B),
   "Before",
   IF(
      C35 &lt;= _xlfn.XLOOKUP(O35,'Campaign Metadata'!A:A,'Campaign Metadata'!C:C),
      "During",
      "After"
   )
 )</f>
        <v>Before</v>
      </c>
      <c r="E35" s="1" t="s">
        <v>16</v>
      </c>
      <c r="F35" s="1" t="s">
        <v>28</v>
      </c>
      <c r="G35" s="5">
        <v>1015</v>
      </c>
      <c r="H35" s="5">
        <v>366</v>
      </c>
      <c r="I35" s="5">
        <v>308</v>
      </c>
      <c r="J35" s="5">
        <v>38127</v>
      </c>
      <c r="K35" s="5">
        <v>63790</v>
      </c>
      <c r="L35" s="5">
        <v>287</v>
      </c>
      <c r="M35" s="6">
        <f t="shared" si="0"/>
        <v>4.4299315445747112E-2</v>
      </c>
      <c r="N35" s="5">
        <f t="shared" si="1"/>
        <v>1689</v>
      </c>
      <c r="O35" s="1" t="s">
        <v>18</v>
      </c>
      <c r="P35" s="27" t="s">
        <v>19</v>
      </c>
      <c r="Q35" s="27" t="s">
        <v>20</v>
      </c>
    </row>
    <row r="36" spans="1:17" ht="15.75" customHeight="1">
      <c r="A36" s="1" t="s">
        <v>73</v>
      </c>
      <c r="B36" s="1" t="s">
        <v>26</v>
      </c>
      <c r="C36" s="4">
        <v>45785</v>
      </c>
      <c r="D36" s="4" t="str">
        <f>IF(
   C36 &lt; _xlfn.XLOOKUP(O36,'Campaign Metadata'!A:A,'Campaign Metadata'!B:B),
   "Before",
   IF(
      C36 &lt;= _xlfn.XLOOKUP(O36,'Campaign Metadata'!A:A,'Campaign Metadata'!C:C),
      "During",
      "After"
   )
 )</f>
        <v>After</v>
      </c>
      <c r="E36" s="1" t="s">
        <v>27</v>
      </c>
      <c r="F36" s="1" t="s">
        <v>50</v>
      </c>
      <c r="G36" s="5">
        <v>3316</v>
      </c>
      <c r="H36" s="5">
        <v>332</v>
      </c>
      <c r="I36" s="5">
        <v>268</v>
      </c>
      <c r="J36" s="5">
        <v>40095</v>
      </c>
      <c r="K36" s="5">
        <v>36913</v>
      </c>
      <c r="L36" s="5">
        <v>265</v>
      </c>
      <c r="M36" s="6">
        <f t="shared" si="0"/>
        <v>9.7668038408779148E-2</v>
      </c>
      <c r="N36" s="5">
        <f t="shared" si="1"/>
        <v>3916</v>
      </c>
      <c r="O36" s="1" t="s">
        <v>18</v>
      </c>
      <c r="P36" s="27" t="s">
        <v>29</v>
      </c>
      <c r="Q36" s="27" t="s">
        <v>20</v>
      </c>
    </row>
    <row r="37" spans="1:17" ht="15.75" customHeight="1">
      <c r="A37" s="1" t="s">
        <v>74</v>
      </c>
      <c r="B37" s="1" t="s">
        <v>15</v>
      </c>
      <c r="C37" s="4">
        <v>45416</v>
      </c>
      <c r="D37" s="4" t="str">
        <f>IF(
   C37 &lt; _xlfn.XLOOKUP(O37,'Campaign Metadata'!A:A,'Campaign Metadata'!B:B),
   "Before",
   IF(
      C37 &lt;= _xlfn.XLOOKUP(O37,'Campaign Metadata'!A:A,'Campaign Metadata'!C:C),
      "During",
      "After"
   )
 )</f>
        <v>Before</v>
      </c>
      <c r="E37" s="1" t="s">
        <v>16</v>
      </c>
      <c r="F37" s="1" t="s">
        <v>31</v>
      </c>
      <c r="G37" s="5">
        <v>2274</v>
      </c>
      <c r="H37" s="5">
        <v>243</v>
      </c>
      <c r="I37" s="5">
        <v>222</v>
      </c>
      <c r="J37" s="5">
        <v>43066</v>
      </c>
      <c r="K37" s="5">
        <v>59174</v>
      </c>
      <c r="L37" s="5">
        <v>80</v>
      </c>
      <c r="M37" s="6">
        <f t="shared" si="0"/>
        <v>6.3600055728416843E-2</v>
      </c>
      <c r="N37" s="5">
        <f t="shared" si="1"/>
        <v>2739</v>
      </c>
      <c r="O37" s="1" t="s">
        <v>23</v>
      </c>
      <c r="P37" s="27" t="s">
        <v>24</v>
      </c>
      <c r="Q37" s="27"/>
    </row>
    <row r="38" spans="1:17" ht="15.75" customHeight="1">
      <c r="A38" s="1" t="s">
        <v>75</v>
      </c>
      <c r="B38" s="1" t="s">
        <v>26</v>
      </c>
      <c r="C38" s="4">
        <v>45804</v>
      </c>
      <c r="D38" s="4" t="str">
        <f>IF(
   C38 &lt; _xlfn.XLOOKUP(O38,'Campaign Metadata'!A:A,'Campaign Metadata'!B:B),
   "Before",
   IF(
      C38 &lt;= _xlfn.XLOOKUP(O38,'Campaign Metadata'!A:A,'Campaign Metadata'!C:C),
      "During",
      "After"
   )
 )</f>
        <v>After</v>
      </c>
      <c r="E38" s="1" t="s">
        <v>27</v>
      </c>
      <c r="F38" s="1" t="s">
        <v>22</v>
      </c>
      <c r="G38" s="5">
        <v>4095</v>
      </c>
      <c r="H38" s="5">
        <v>385</v>
      </c>
      <c r="I38" s="5">
        <v>400</v>
      </c>
      <c r="J38" s="5">
        <v>45300</v>
      </c>
      <c r="K38" s="5">
        <v>31795</v>
      </c>
      <c r="L38" s="5">
        <v>80</v>
      </c>
      <c r="M38" s="6">
        <f t="shared" si="0"/>
        <v>0.10772626931567329</v>
      </c>
      <c r="N38" s="5">
        <f t="shared" si="1"/>
        <v>4880</v>
      </c>
      <c r="O38" s="1" t="s">
        <v>18</v>
      </c>
      <c r="P38" s="27" t="s">
        <v>29</v>
      </c>
      <c r="Q38" s="27" t="s">
        <v>20</v>
      </c>
    </row>
    <row r="39" spans="1:17" ht="15.75" customHeight="1">
      <c r="A39" s="1" t="s">
        <v>76</v>
      </c>
      <c r="B39" s="1" t="s">
        <v>15</v>
      </c>
      <c r="C39" s="4">
        <v>45545</v>
      </c>
      <c r="D39" s="4" t="str">
        <f>IF(
   C39 &lt; _xlfn.XLOOKUP(O39,'Campaign Metadata'!A:A,'Campaign Metadata'!B:B),
   "Before",
   IF(
      C39 &lt;= _xlfn.XLOOKUP(O39,'Campaign Metadata'!A:A,'Campaign Metadata'!C:C),
      "During",
      "After"
   )
 )</f>
        <v>Before</v>
      </c>
      <c r="E39" s="1" t="s">
        <v>27</v>
      </c>
      <c r="F39" s="1" t="s">
        <v>28</v>
      </c>
      <c r="G39" s="5">
        <v>1230</v>
      </c>
      <c r="H39" s="5">
        <v>309</v>
      </c>
      <c r="I39" s="5">
        <v>207</v>
      </c>
      <c r="J39" s="5">
        <v>44629</v>
      </c>
      <c r="K39" s="5">
        <v>40699</v>
      </c>
      <c r="L39" s="5">
        <v>195</v>
      </c>
      <c r="M39" s="6">
        <f t="shared" si="0"/>
        <v>3.9122543637545096E-2</v>
      </c>
      <c r="N39" s="5">
        <f t="shared" si="1"/>
        <v>1746</v>
      </c>
      <c r="O39" s="1" t="s">
        <v>54</v>
      </c>
      <c r="P39" s="27" t="s">
        <v>20</v>
      </c>
      <c r="Q39" s="27"/>
    </row>
    <row r="40" spans="1:17" ht="15.75" customHeight="1">
      <c r="A40" s="1" t="s">
        <v>77</v>
      </c>
      <c r="B40" s="1" t="s">
        <v>15</v>
      </c>
      <c r="C40" s="4">
        <v>45621</v>
      </c>
      <c r="D40" s="4" t="str">
        <f>IF(
   C40 &lt; _xlfn.XLOOKUP(O40,'Campaign Metadata'!A:A,'Campaign Metadata'!B:B),
   "Before",
   IF(
      C40 &lt;= _xlfn.XLOOKUP(O40,'Campaign Metadata'!A:A,'Campaign Metadata'!C:C),
      "During",
      "After"
   )
 )</f>
        <v>Before</v>
      </c>
      <c r="E40" s="1" t="s">
        <v>16</v>
      </c>
      <c r="F40" s="1" t="s">
        <v>48</v>
      </c>
      <c r="G40" s="5">
        <v>1341</v>
      </c>
      <c r="H40" s="5">
        <v>472</v>
      </c>
      <c r="I40" s="5">
        <v>238</v>
      </c>
      <c r="J40" s="5">
        <v>51386</v>
      </c>
      <c r="K40" s="5">
        <v>51706</v>
      </c>
      <c r="L40" s="5">
        <v>133</v>
      </c>
      <c r="M40" s="6">
        <f t="shared" si="0"/>
        <v>3.9913595142645857E-2</v>
      </c>
      <c r="N40" s="5">
        <f t="shared" si="1"/>
        <v>2051</v>
      </c>
      <c r="O40" s="1" t="s">
        <v>23</v>
      </c>
      <c r="P40" s="27" t="s">
        <v>24</v>
      </c>
      <c r="Q40" s="27"/>
    </row>
    <row r="41" spans="1:17" ht="15.75" customHeight="1">
      <c r="A41" s="1" t="s">
        <v>78</v>
      </c>
      <c r="B41" s="1" t="s">
        <v>26</v>
      </c>
      <c r="C41" s="4">
        <v>45818</v>
      </c>
      <c r="D41" s="4" t="str">
        <f>IF(
   C41 &lt; _xlfn.XLOOKUP(O41,'Campaign Metadata'!A:A,'Campaign Metadata'!B:B),
   "Before",
   IF(
      C41 &lt;= _xlfn.XLOOKUP(O41,'Campaign Metadata'!A:A,'Campaign Metadata'!C:C),
      "During",
      "After"
   )
 )</f>
        <v>After</v>
      </c>
      <c r="E41" s="1" t="s">
        <v>16</v>
      </c>
      <c r="F41" s="1" t="s">
        <v>22</v>
      </c>
      <c r="G41" s="5">
        <v>3615</v>
      </c>
      <c r="H41" s="5">
        <v>192</v>
      </c>
      <c r="I41" s="5">
        <v>162</v>
      </c>
      <c r="J41" s="5">
        <v>27492</v>
      </c>
      <c r="K41" s="5">
        <v>35341</v>
      </c>
      <c r="L41" s="5">
        <v>125</v>
      </c>
      <c r="M41" s="6">
        <f t="shared" si="0"/>
        <v>0.14436927106067218</v>
      </c>
      <c r="N41" s="5">
        <f t="shared" si="1"/>
        <v>3969</v>
      </c>
      <c r="O41" s="1" t="s">
        <v>18</v>
      </c>
      <c r="P41" s="27" t="s">
        <v>20</v>
      </c>
      <c r="Q41" s="27"/>
    </row>
    <row r="42" spans="1:17" ht="15.75" customHeight="1">
      <c r="A42" s="1" t="s">
        <v>79</v>
      </c>
      <c r="B42" s="1" t="s">
        <v>15</v>
      </c>
      <c r="C42" s="4">
        <v>45401</v>
      </c>
      <c r="D42" s="4" t="str">
        <f>IF(
   C42 &lt; _xlfn.XLOOKUP(O42,'Campaign Metadata'!A:A,'Campaign Metadata'!B:B),
   "Before",
   IF(
      C42 &lt;= _xlfn.XLOOKUP(O42,'Campaign Metadata'!A:A,'Campaign Metadata'!C:C),
      "During",
      "After"
   )
 )</f>
        <v>Before</v>
      </c>
      <c r="E42" s="1" t="s">
        <v>16</v>
      </c>
      <c r="F42" s="1" t="s">
        <v>28</v>
      </c>
      <c r="G42" s="5">
        <v>4001</v>
      </c>
      <c r="H42" s="5">
        <v>353</v>
      </c>
      <c r="I42" s="5">
        <v>129</v>
      </c>
      <c r="J42" s="5">
        <v>41265</v>
      </c>
      <c r="K42" s="5">
        <v>37279</v>
      </c>
      <c r="L42" s="5">
        <v>275</v>
      </c>
      <c r="M42" s="6">
        <f t="shared" si="0"/>
        <v>0.10863928268508422</v>
      </c>
      <c r="N42" s="5">
        <f t="shared" si="1"/>
        <v>4483</v>
      </c>
      <c r="O42" s="1" t="s">
        <v>18</v>
      </c>
      <c r="P42" s="27" t="s">
        <v>19</v>
      </c>
      <c r="Q42" s="27" t="s">
        <v>20</v>
      </c>
    </row>
    <row r="43" spans="1:17" ht="15.75" customHeight="1">
      <c r="A43" s="1" t="s">
        <v>80</v>
      </c>
      <c r="B43" s="1" t="s">
        <v>15</v>
      </c>
      <c r="C43" s="4">
        <v>45683</v>
      </c>
      <c r="D43" s="4" t="str">
        <f>IF(
   C43 &lt; _xlfn.XLOOKUP(O43,'Campaign Metadata'!A:A,'Campaign Metadata'!B:B),
   "Before",
   IF(
      C43 &lt;= _xlfn.XLOOKUP(O43,'Campaign Metadata'!A:A,'Campaign Metadata'!C:C),
      "During",
      "After"
   )
 )</f>
        <v>After</v>
      </c>
      <c r="E43" s="1" t="s">
        <v>27</v>
      </c>
      <c r="F43" s="1" t="s">
        <v>37</v>
      </c>
      <c r="G43" s="5">
        <v>3451</v>
      </c>
      <c r="H43" s="5">
        <v>363</v>
      </c>
      <c r="I43" s="5">
        <v>393</v>
      </c>
      <c r="J43" s="5">
        <v>44853</v>
      </c>
      <c r="K43" s="5">
        <v>69032</v>
      </c>
      <c r="L43" s="5">
        <v>211</v>
      </c>
      <c r="M43" s="6">
        <f t="shared" si="0"/>
        <v>9.379528682585335E-2</v>
      </c>
      <c r="N43" s="5">
        <f t="shared" si="1"/>
        <v>4207</v>
      </c>
      <c r="O43" s="1" t="s">
        <v>54</v>
      </c>
      <c r="P43" s="27" t="s">
        <v>20</v>
      </c>
      <c r="Q43" s="27"/>
    </row>
    <row r="44" spans="1:17" ht="15.75" customHeight="1">
      <c r="A44" s="1" t="s">
        <v>81</v>
      </c>
      <c r="B44" s="1" t="s">
        <v>15</v>
      </c>
      <c r="C44" s="4">
        <v>45702</v>
      </c>
      <c r="D44" s="4" t="str">
        <f>IF(
   C44 &lt; _xlfn.XLOOKUP(O44,'Campaign Metadata'!A:A,'Campaign Metadata'!B:B),
   "Before",
   IF(
      C44 &lt;= _xlfn.XLOOKUP(O44,'Campaign Metadata'!A:A,'Campaign Metadata'!C:C),
      "During",
      "After"
   )
 )</f>
        <v>After</v>
      </c>
      <c r="E44" s="1" t="s">
        <v>16</v>
      </c>
      <c r="F44" s="1" t="s">
        <v>42</v>
      </c>
      <c r="G44" s="5">
        <v>4891</v>
      </c>
      <c r="H44" s="5">
        <v>450</v>
      </c>
      <c r="I44" s="5">
        <v>387</v>
      </c>
      <c r="J44" s="5">
        <v>48746</v>
      </c>
      <c r="K44" s="5">
        <v>37312</v>
      </c>
      <c r="L44" s="5">
        <v>154</v>
      </c>
      <c r="M44" s="6">
        <f t="shared" si="0"/>
        <v>0.11750707750379519</v>
      </c>
      <c r="N44" s="5">
        <f t="shared" si="1"/>
        <v>5728</v>
      </c>
      <c r="O44" s="1" t="s">
        <v>18</v>
      </c>
      <c r="P44" s="27" t="s">
        <v>19</v>
      </c>
      <c r="Q44" s="27" t="s">
        <v>20</v>
      </c>
    </row>
    <row r="45" spans="1:17" ht="15.75" customHeight="1">
      <c r="A45" s="1" t="s">
        <v>82</v>
      </c>
      <c r="B45" s="1" t="s">
        <v>15</v>
      </c>
      <c r="C45" s="4">
        <v>45541</v>
      </c>
      <c r="D45" s="4" t="str">
        <f>IF(
   C45 &lt; _xlfn.XLOOKUP(O45,'Campaign Metadata'!A:A,'Campaign Metadata'!B:B),
   "Before",
   IF(
      C45 &lt;= _xlfn.XLOOKUP(O45,'Campaign Metadata'!A:A,'Campaign Metadata'!C:C),
      "During",
      "After"
   )
 )</f>
        <v>Before</v>
      </c>
      <c r="E45" s="1" t="s">
        <v>16</v>
      </c>
      <c r="F45" s="1" t="s">
        <v>28</v>
      </c>
      <c r="G45" s="5">
        <v>1452</v>
      </c>
      <c r="H45" s="5">
        <v>281</v>
      </c>
      <c r="I45" s="5">
        <v>326</v>
      </c>
      <c r="J45" s="5">
        <v>51556</v>
      </c>
      <c r="K45" s="5">
        <v>62599</v>
      </c>
      <c r="L45" s="5">
        <v>290</v>
      </c>
      <c r="M45" s="6">
        <f t="shared" si="0"/>
        <v>3.9937155714174881E-2</v>
      </c>
      <c r="N45" s="5">
        <f t="shared" si="1"/>
        <v>2059</v>
      </c>
      <c r="O45" s="1" t="s">
        <v>23</v>
      </c>
      <c r="P45" s="27" t="s">
        <v>24</v>
      </c>
      <c r="Q45" s="27"/>
    </row>
    <row r="46" spans="1:17" ht="15.75" customHeight="1">
      <c r="A46" s="1" t="s">
        <v>83</v>
      </c>
      <c r="B46" s="1" t="s">
        <v>33</v>
      </c>
      <c r="C46" s="4">
        <v>45487</v>
      </c>
      <c r="D46" s="4" t="str">
        <f>IF(
   C46 &lt; _xlfn.XLOOKUP(O46,'Campaign Metadata'!A:A,'Campaign Metadata'!B:B),
   "Before",
   IF(
      C46 &lt;= _xlfn.XLOOKUP(O46,'Campaign Metadata'!A:A,'Campaign Metadata'!C:C),
      "During",
      "After"
   )
 )</f>
        <v>Before</v>
      </c>
      <c r="E46" s="1" t="s">
        <v>16</v>
      </c>
      <c r="F46" s="1" t="s">
        <v>50</v>
      </c>
      <c r="G46" s="5">
        <v>3806</v>
      </c>
      <c r="H46" s="5">
        <v>114</v>
      </c>
      <c r="I46" s="5">
        <v>278</v>
      </c>
      <c r="J46" s="5">
        <v>36148</v>
      </c>
      <c r="K46" s="5">
        <v>24209</v>
      </c>
      <c r="L46" s="5">
        <v>201</v>
      </c>
      <c r="M46" s="6">
        <f t="shared" si="0"/>
        <v>0.11613367267898639</v>
      </c>
      <c r="N46" s="5">
        <f t="shared" si="1"/>
        <v>4198</v>
      </c>
      <c r="O46" s="1" t="s">
        <v>23</v>
      </c>
      <c r="P46" s="27" t="s">
        <v>24</v>
      </c>
      <c r="Q46" s="27" t="s">
        <v>35</v>
      </c>
    </row>
    <row r="47" spans="1:17" ht="15.75" customHeight="1">
      <c r="A47" s="1" t="s">
        <v>84</v>
      </c>
      <c r="B47" s="1" t="s">
        <v>15</v>
      </c>
      <c r="C47" s="4">
        <v>45334</v>
      </c>
      <c r="D47" s="4" t="str">
        <f>IF(
   C47 &lt; _xlfn.XLOOKUP(O47,'Campaign Metadata'!A:A,'Campaign Metadata'!B:B),
   "Before",
   IF(
      C47 &lt;= _xlfn.XLOOKUP(O47,'Campaign Metadata'!A:A,'Campaign Metadata'!C:C),
      "During",
      "After"
   )
 )</f>
        <v>Before</v>
      </c>
      <c r="E47" s="1" t="s">
        <v>16</v>
      </c>
      <c r="F47" s="1" t="s">
        <v>22</v>
      </c>
      <c r="G47" s="5">
        <v>2923</v>
      </c>
      <c r="H47" s="5">
        <v>330</v>
      </c>
      <c r="I47" s="5">
        <v>250</v>
      </c>
      <c r="J47" s="5">
        <v>23993</v>
      </c>
      <c r="K47" s="5">
        <v>74590</v>
      </c>
      <c r="L47" s="5">
        <v>92</v>
      </c>
      <c r="M47" s="6">
        <f t="shared" si="0"/>
        <v>0.14600091693410577</v>
      </c>
      <c r="N47" s="5">
        <f t="shared" si="1"/>
        <v>3503</v>
      </c>
      <c r="O47" s="1" t="s">
        <v>23</v>
      </c>
      <c r="P47" s="27" t="s">
        <v>24</v>
      </c>
      <c r="Q47" s="27"/>
    </row>
    <row r="48" spans="1:17" ht="15.75" customHeight="1">
      <c r="A48" s="1" t="s">
        <v>85</v>
      </c>
      <c r="B48" s="1" t="s">
        <v>33</v>
      </c>
      <c r="C48" s="4">
        <v>45365</v>
      </c>
      <c r="D48" s="4" t="str">
        <f>IF(
   C48 &lt; _xlfn.XLOOKUP(O48,'Campaign Metadata'!A:A,'Campaign Metadata'!B:B),
   "Before",
   IF(
      C48 &lt;= _xlfn.XLOOKUP(O48,'Campaign Metadata'!A:A,'Campaign Metadata'!C:C),
      "During",
      "After"
   )
 )</f>
        <v>Before</v>
      </c>
      <c r="E48" s="1" t="s">
        <v>56</v>
      </c>
      <c r="F48" s="1" t="s">
        <v>48</v>
      </c>
      <c r="G48" s="5">
        <v>3361</v>
      </c>
      <c r="H48" s="5">
        <v>188</v>
      </c>
      <c r="I48" s="5">
        <v>358</v>
      </c>
      <c r="J48" s="5">
        <v>39838</v>
      </c>
      <c r="K48" s="5">
        <v>24536</v>
      </c>
      <c r="L48" s="5">
        <v>120</v>
      </c>
      <c r="M48" s="6">
        <f t="shared" si="0"/>
        <v>9.8072192379135503E-2</v>
      </c>
      <c r="N48" s="5">
        <f t="shared" si="1"/>
        <v>3907</v>
      </c>
      <c r="O48" s="1" t="s">
        <v>57</v>
      </c>
      <c r="P48" s="27" t="s">
        <v>24</v>
      </c>
      <c r="Q48" s="27" t="s">
        <v>19</v>
      </c>
    </row>
    <row r="49" spans="1:17" ht="15.75" customHeight="1">
      <c r="A49" s="1" t="s">
        <v>86</v>
      </c>
      <c r="B49" s="1" t="s">
        <v>15</v>
      </c>
      <c r="C49" s="4">
        <v>45693</v>
      </c>
      <c r="D49" s="4" t="str">
        <f>IF(
   C49 &lt; _xlfn.XLOOKUP(O49,'Campaign Metadata'!A:A,'Campaign Metadata'!B:B),
   "Before",
   IF(
      C49 &lt;= _xlfn.XLOOKUP(O49,'Campaign Metadata'!A:A,'Campaign Metadata'!C:C),
      "During",
      "After"
   )
 )</f>
        <v>After</v>
      </c>
      <c r="E49" s="1" t="s">
        <v>27</v>
      </c>
      <c r="F49" s="1" t="s">
        <v>34</v>
      </c>
      <c r="G49" s="5">
        <v>3074</v>
      </c>
      <c r="H49" s="5">
        <v>371</v>
      </c>
      <c r="I49" s="5">
        <v>348</v>
      </c>
      <c r="J49" s="5">
        <v>24104</v>
      </c>
      <c r="K49" s="5">
        <v>57803</v>
      </c>
      <c r="L49" s="5">
        <v>213</v>
      </c>
      <c r="M49" s="6">
        <f t="shared" si="0"/>
        <v>0.15735977431131762</v>
      </c>
      <c r="N49" s="5">
        <f t="shared" si="1"/>
        <v>3793</v>
      </c>
      <c r="O49" s="1" t="s">
        <v>54</v>
      </c>
      <c r="P49" s="27" t="s">
        <v>20</v>
      </c>
      <c r="Q49" s="27"/>
    </row>
    <row r="50" spans="1:17" ht="15.75" customHeight="1">
      <c r="A50" s="1" t="s">
        <v>87</v>
      </c>
      <c r="B50" s="1" t="s">
        <v>26</v>
      </c>
      <c r="C50" s="4">
        <v>45533</v>
      </c>
      <c r="D50" s="4" t="str">
        <f>IF(
   C50 &lt; _xlfn.XLOOKUP(O50,'Campaign Metadata'!A:A,'Campaign Metadata'!B:B),
   "Before",
   IF(
      C50 &lt;= _xlfn.XLOOKUP(O50,'Campaign Metadata'!A:A,'Campaign Metadata'!C:C),
      "During",
      "After"
   )
 )</f>
        <v>Before</v>
      </c>
      <c r="E50" s="1" t="s">
        <v>27</v>
      </c>
      <c r="F50" s="1" t="s">
        <v>39</v>
      </c>
      <c r="G50" s="5">
        <v>4276</v>
      </c>
      <c r="H50" s="5">
        <v>227</v>
      </c>
      <c r="I50" s="5">
        <v>223</v>
      </c>
      <c r="J50" s="5">
        <v>43443</v>
      </c>
      <c r="K50" s="5">
        <v>41005</v>
      </c>
      <c r="L50" s="5">
        <v>191</v>
      </c>
      <c r="M50" s="6">
        <f t="shared" si="0"/>
        <v>0.1087862256289851</v>
      </c>
      <c r="N50" s="5">
        <f t="shared" si="1"/>
        <v>4726</v>
      </c>
      <c r="O50" s="1" t="s">
        <v>18</v>
      </c>
      <c r="P50" s="27" t="s">
        <v>24</v>
      </c>
      <c r="Q50" s="27" t="s">
        <v>29</v>
      </c>
    </row>
    <row r="51" spans="1:17" ht="15.75" customHeight="1">
      <c r="A51" s="1" t="s">
        <v>88</v>
      </c>
      <c r="B51" s="1" t="s">
        <v>26</v>
      </c>
      <c r="C51" s="4">
        <v>45769</v>
      </c>
      <c r="D51" s="4" t="str">
        <f>IF(
   C51 &lt; _xlfn.XLOOKUP(O51,'Campaign Metadata'!A:A,'Campaign Metadata'!B:B),
   "Before",
   IF(
      C51 &lt;= _xlfn.XLOOKUP(O51,'Campaign Metadata'!A:A,'Campaign Metadata'!C:C),
      "During",
      "After"
   )
 )</f>
        <v>After</v>
      </c>
      <c r="E51" s="1" t="s">
        <v>16</v>
      </c>
      <c r="F51" s="1" t="s">
        <v>17</v>
      </c>
      <c r="G51" s="5">
        <v>4401</v>
      </c>
      <c r="H51" s="5">
        <v>421</v>
      </c>
      <c r="I51" s="5">
        <v>216</v>
      </c>
      <c r="J51" s="5">
        <v>24890</v>
      </c>
      <c r="K51" s="5">
        <v>54361</v>
      </c>
      <c r="L51" s="5">
        <v>148</v>
      </c>
      <c r="M51" s="6">
        <f t="shared" si="0"/>
        <v>0.20241060666934513</v>
      </c>
      <c r="N51" s="5">
        <f t="shared" si="1"/>
        <v>5038</v>
      </c>
      <c r="O51" s="1" t="s">
        <v>18</v>
      </c>
      <c r="P51" s="27" t="s">
        <v>20</v>
      </c>
      <c r="Q51" s="27"/>
    </row>
    <row r="52" spans="1:17" ht="15.75" customHeight="1">
      <c r="A52" s="1" t="s">
        <v>89</v>
      </c>
      <c r="B52" s="1" t="s">
        <v>33</v>
      </c>
      <c r="C52" s="4">
        <v>45425</v>
      </c>
      <c r="D52" s="4" t="str">
        <f>IF(
   C52 &lt; _xlfn.XLOOKUP(O52,'Campaign Metadata'!A:A,'Campaign Metadata'!B:B),
   "Before",
   IF(
      C52 &lt;= _xlfn.XLOOKUP(O52,'Campaign Metadata'!A:A,'Campaign Metadata'!C:C),
      "During",
      "After"
   )
 )</f>
        <v>Before</v>
      </c>
      <c r="E52" s="1" t="s">
        <v>56</v>
      </c>
      <c r="F52" s="1" t="s">
        <v>22</v>
      </c>
      <c r="G52" s="5">
        <v>4161</v>
      </c>
      <c r="H52" s="5">
        <v>481</v>
      </c>
      <c r="I52" s="5">
        <v>61</v>
      </c>
      <c r="J52" s="5">
        <v>45884</v>
      </c>
      <c r="K52" s="5">
        <v>48955</v>
      </c>
      <c r="L52" s="5">
        <v>215</v>
      </c>
      <c r="M52" s="6">
        <f t="shared" si="0"/>
        <v>0.10249760265016128</v>
      </c>
      <c r="N52" s="5">
        <f t="shared" si="1"/>
        <v>4703</v>
      </c>
      <c r="O52" s="1" t="s">
        <v>57</v>
      </c>
      <c r="P52" s="27" t="s">
        <v>24</v>
      </c>
      <c r="Q52" s="27" t="s">
        <v>19</v>
      </c>
    </row>
    <row r="53" spans="1:17" ht="15.75" customHeight="1">
      <c r="A53" s="1" t="s">
        <v>90</v>
      </c>
      <c r="B53" s="1" t="s">
        <v>26</v>
      </c>
      <c r="C53" s="4">
        <v>45539</v>
      </c>
      <c r="D53" s="4" t="str">
        <f>IF(
   C53 &lt; _xlfn.XLOOKUP(O53,'Campaign Metadata'!A:A,'Campaign Metadata'!B:B),
   "Before",
   IF(
      C53 &lt;= _xlfn.XLOOKUP(O53,'Campaign Metadata'!A:A,'Campaign Metadata'!C:C),
      "During",
      "After"
   )
 )</f>
        <v>Before</v>
      </c>
      <c r="E53" s="1" t="s">
        <v>27</v>
      </c>
      <c r="F53" s="1" t="s">
        <v>28</v>
      </c>
      <c r="G53" s="5">
        <v>2613</v>
      </c>
      <c r="H53" s="5">
        <v>455</v>
      </c>
      <c r="I53" s="5">
        <v>228</v>
      </c>
      <c r="J53" s="5">
        <v>21645</v>
      </c>
      <c r="K53" s="5">
        <v>61334</v>
      </c>
      <c r="L53" s="5">
        <v>261</v>
      </c>
      <c r="M53" s="6">
        <f t="shared" si="0"/>
        <v>0.15227535227535227</v>
      </c>
      <c r="N53" s="5">
        <f t="shared" si="1"/>
        <v>3296</v>
      </c>
      <c r="O53" s="1" t="s">
        <v>18</v>
      </c>
      <c r="P53" s="27" t="s">
        <v>24</v>
      </c>
      <c r="Q53" s="27" t="s">
        <v>29</v>
      </c>
    </row>
    <row r="54" spans="1:17" ht="15.75" customHeight="1">
      <c r="A54" s="1" t="s">
        <v>91</v>
      </c>
      <c r="B54" s="1" t="s">
        <v>26</v>
      </c>
      <c r="C54" s="4">
        <v>45516</v>
      </c>
      <c r="D54" s="4" t="str">
        <f>IF(
   C54 &lt; _xlfn.XLOOKUP(O54,'Campaign Metadata'!A:A,'Campaign Metadata'!B:B),
   "Before",
   IF(
      C54 &lt;= _xlfn.XLOOKUP(O54,'Campaign Metadata'!A:A,'Campaign Metadata'!C:C),
      "During",
      "After"
   )
 )</f>
        <v>Before</v>
      </c>
      <c r="E54" s="1" t="s">
        <v>27</v>
      </c>
      <c r="F54" s="1" t="s">
        <v>37</v>
      </c>
      <c r="G54" s="5">
        <v>2842</v>
      </c>
      <c r="H54" s="5">
        <v>213</v>
      </c>
      <c r="I54" s="5">
        <v>331</v>
      </c>
      <c r="J54" s="5">
        <v>57660</v>
      </c>
      <c r="K54" s="5">
        <v>68606</v>
      </c>
      <c r="L54" s="5">
        <v>87</v>
      </c>
      <c r="M54" s="6">
        <f t="shared" si="0"/>
        <v>5.8723551855705859E-2</v>
      </c>
      <c r="N54" s="5">
        <f t="shared" si="1"/>
        <v>3386</v>
      </c>
      <c r="O54" s="1" t="s">
        <v>18</v>
      </c>
      <c r="P54" s="27" t="s">
        <v>29</v>
      </c>
      <c r="Q54" s="27" t="s">
        <v>20</v>
      </c>
    </row>
    <row r="55" spans="1:17" ht="15.75" customHeight="1">
      <c r="A55" s="1" t="s">
        <v>92</v>
      </c>
      <c r="B55" s="1" t="s">
        <v>15</v>
      </c>
      <c r="C55" s="4">
        <v>45722</v>
      </c>
      <c r="D55" s="4" t="str">
        <f>IF(
   C55 &lt; _xlfn.XLOOKUP(O55,'Campaign Metadata'!A:A,'Campaign Metadata'!B:B),
   "Before",
   IF(
      C55 &lt;= _xlfn.XLOOKUP(O55,'Campaign Metadata'!A:A,'Campaign Metadata'!C:C),
      "During",
      "After"
   )
 )</f>
        <v>During</v>
      </c>
      <c r="E55" s="1" t="s">
        <v>16</v>
      </c>
      <c r="F55" s="1" t="s">
        <v>39</v>
      </c>
      <c r="G55" s="5">
        <v>4851</v>
      </c>
      <c r="H55" s="5">
        <v>460</v>
      </c>
      <c r="I55" s="5">
        <v>212</v>
      </c>
      <c r="J55" s="5">
        <v>58075</v>
      </c>
      <c r="K55" s="5">
        <v>59574</v>
      </c>
      <c r="L55" s="5">
        <v>239</v>
      </c>
      <c r="M55" s="6">
        <f t="shared" si="0"/>
        <v>9.5101162290142052E-2</v>
      </c>
      <c r="N55" s="5">
        <f t="shared" si="1"/>
        <v>5523</v>
      </c>
      <c r="O55" s="1" t="s">
        <v>23</v>
      </c>
      <c r="P55" s="27" t="s">
        <v>24</v>
      </c>
      <c r="Q55" s="27"/>
    </row>
    <row r="56" spans="1:17" ht="15.75" customHeight="1">
      <c r="A56" s="1" t="s">
        <v>93</v>
      </c>
      <c r="B56" s="1" t="s">
        <v>26</v>
      </c>
      <c r="C56" s="4">
        <v>45420</v>
      </c>
      <c r="D56" s="4" t="str">
        <f>IF(
   C56 &lt; _xlfn.XLOOKUP(O56,'Campaign Metadata'!A:A,'Campaign Metadata'!B:B),
   "Before",
   IF(
      C56 &lt;= _xlfn.XLOOKUP(O56,'Campaign Metadata'!A:A,'Campaign Metadata'!C:C),
      "During",
      "After"
   )
 )</f>
        <v>Before</v>
      </c>
      <c r="E56" s="1" t="s">
        <v>16</v>
      </c>
      <c r="F56" s="1" t="s">
        <v>22</v>
      </c>
      <c r="G56" s="5">
        <v>1828</v>
      </c>
      <c r="H56" s="5">
        <v>450</v>
      </c>
      <c r="I56" s="5">
        <v>214</v>
      </c>
      <c r="J56" s="5">
        <v>52115</v>
      </c>
      <c r="K56" s="5">
        <v>19166</v>
      </c>
      <c r="L56" s="5">
        <v>190</v>
      </c>
      <c r="M56" s="6">
        <f t="shared" si="0"/>
        <v>4.781732706514439E-2</v>
      </c>
      <c r="N56" s="5">
        <f t="shared" si="1"/>
        <v>2492</v>
      </c>
      <c r="O56" s="1" t="s">
        <v>18</v>
      </c>
      <c r="P56" s="27" t="s">
        <v>20</v>
      </c>
      <c r="Q56" s="27"/>
    </row>
    <row r="57" spans="1:17" ht="15.75" customHeight="1">
      <c r="A57" s="1" t="s">
        <v>94</v>
      </c>
      <c r="B57" s="1" t="s">
        <v>15</v>
      </c>
      <c r="C57" s="4">
        <v>45707</v>
      </c>
      <c r="D57" s="4" t="str">
        <f>IF(
   C57 &lt; _xlfn.XLOOKUP(O57,'Campaign Metadata'!A:A,'Campaign Metadata'!B:B),
   "Before",
   IF(
      C57 &lt;= _xlfn.XLOOKUP(O57,'Campaign Metadata'!A:A,'Campaign Metadata'!C:C),
      "During",
      "After"
   )
 )</f>
        <v>After</v>
      </c>
      <c r="E57" s="1" t="s">
        <v>27</v>
      </c>
      <c r="F57" s="1" t="s">
        <v>48</v>
      </c>
      <c r="G57" s="5">
        <v>2422</v>
      </c>
      <c r="H57" s="5">
        <v>455</v>
      </c>
      <c r="I57" s="5">
        <v>376</v>
      </c>
      <c r="J57" s="5">
        <v>23428</v>
      </c>
      <c r="K57" s="5">
        <v>46775</v>
      </c>
      <c r="L57" s="5">
        <v>259</v>
      </c>
      <c r="M57" s="6">
        <f t="shared" si="0"/>
        <v>0.13885094758408742</v>
      </c>
      <c r="N57" s="5">
        <f t="shared" si="1"/>
        <v>3253</v>
      </c>
      <c r="O57" s="1" t="s">
        <v>54</v>
      </c>
      <c r="P57" s="27" t="s">
        <v>20</v>
      </c>
      <c r="Q57" s="27"/>
    </row>
    <row r="58" spans="1:17" ht="15.75" customHeight="1">
      <c r="A58" s="1" t="s">
        <v>95</v>
      </c>
      <c r="B58" s="1" t="s">
        <v>15</v>
      </c>
      <c r="C58" s="4">
        <v>45299</v>
      </c>
      <c r="D58" s="4" t="str">
        <f>IF(
   C58 &lt; _xlfn.XLOOKUP(O58,'Campaign Metadata'!A:A,'Campaign Metadata'!B:B),
   "Before",
   IF(
      C58 &lt;= _xlfn.XLOOKUP(O58,'Campaign Metadata'!A:A,'Campaign Metadata'!C:C),
      "During",
      "After"
   )
 )</f>
        <v>Before</v>
      </c>
      <c r="E58" s="1" t="s">
        <v>16</v>
      </c>
      <c r="F58" s="1" t="s">
        <v>42</v>
      </c>
      <c r="G58" s="5">
        <v>2683</v>
      </c>
      <c r="H58" s="5">
        <v>405</v>
      </c>
      <c r="I58" s="5">
        <v>223</v>
      </c>
      <c r="J58" s="5">
        <v>31233</v>
      </c>
      <c r="K58" s="5">
        <v>58106</v>
      </c>
      <c r="L58" s="5">
        <v>291</v>
      </c>
      <c r="M58" s="6">
        <f t="shared" si="0"/>
        <v>0.10600966926007749</v>
      </c>
      <c r="N58" s="5">
        <f t="shared" si="1"/>
        <v>3311</v>
      </c>
      <c r="O58" s="1" t="s">
        <v>23</v>
      </c>
      <c r="P58" s="27" t="s">
        <v>24</v>
      </c>
      <c r="Q58" s="27"/>
    </row>
    <row r="59" spans="1:17" ht="15.75" customHeight="1">
      <c r="A59" s="1" t="s">
        <v>96</v>
      </c>
      <c r="B59" s="1" t="s">
        <v>33</v>
      </c>
      <c r="C59" s="4">
        <v>45490</v>
      </c>
      <c r="D59" s="4" t="str">
        <f>IF(
   C59 &lt; _xlfn.XLOOKUP(O59,'Campaign Metadata'!A:A,'Campaign Metadata'!B:B),
   "Before",
   IF(
      C59 &lt;= _xlfn.XLOOKUP(O59,'Campaign Metadata'!A:A,'Campaign Metadata'!C:C),
      "During",
      "After"
   )
 )</f>
        <v>Before</v>
      </c>
      <c r="E59" s="1" t="s">
        <v>16</v>
      </c>
      <c r="F59" s="1" t="s">
        <v>42</v>
      </c>
      <c r="G59" s="5">
        <v>3135</v>
      </c>
      <c r="H59" s="5">
        <v>110</v>
      </c>
      <c r="I59" s="5">
        <v>215</v>
      </c>
      <c r="J59" s="5">
        <v>39192</v>
      </c>
      <c r="K59" s="5">
        <v>24744</v>
      </c>
      <c r="L59" s="5">
        <v>177</v>
      </c>
      <c r="M59" s="6">
        <f t="shared" si="0"/>
        <v>8.8283323127168814E-2</v>
      </c>
      <c r="N59" s="5">
        <f t="shared" si="1"/>
        <v>3460</v>
      </c>
      <c r="O59" s="1" t="s">
        <v>23</v>
      </c>
      <c r="P59" s="27" t="s">
        <v>24</v>
      </c>
      <c r="Q59" s="27" t="s">
        <v>35</v>
      </c>
    </row>
    <row r="60" spans="1:17" ht="15.75" customHeight="1">
      <c r="A60" s="1" t="s">
        <v>97</v>
      </c>
      <c r="B60" s="1" t="s">
        <v>33</v>
      </c>
      <c r="C60" s="4">
        <v>45514</v>
      </c>
      <c r="D60" s="4" t="str">
        <f>IF(
   C60 &lt; _xlfn.XLOOKUP(O60,'Campaign Metadata'!A:A,'Campaign Metadata'!B:B),
   "Before",
   IF(
      C60 &lt;= _xlfn.XLOOKUP(O60,'Campaign Metadata'!A:A,'Campaign Metadata'!C:C),
      "During",
      "After"
   )
 )</f>
        <v>Before</v>
      </c>
      <c r="E60" s="1" t="s">
        <v>16</v>
      </c>
      <c r="F60" s="1" t="s">
        <v>48</v>
      </c>
      <c r="G60" s="5">
        <v>1105</v>
      </c>
      <c r="H60" s="5">
        <v>181</v>
      </c>
      <c r="I60" s="5">
        <v>55</v>
      </c>
      <c r="J60" s="5">
        <v>53581</v>
      </c>
      <c r="K60" s="5">
        <v>74048</v>
      </c>
      <c r="L60" s="5">
        <v>220</v>
      </c>
      <c r="M60" s="6">
        <f t="shared" si="0"/>
        <v>2.50275284149232E-2</v>
      </c>
      <c r="N60" s="5">
        <f t="shared" si="1"/>
        <v>1341</v>
      </c>
      <c r="O60" s="1" t="s">
        <v>23</v>
      </c>
      <c r="P60" s="27" t="s">
        <v>24</v>
      </c>
      <c r="Q60" s="27" t="s">
        <v>35</v>
      </c>
    </row>
    <row r="61" spans="1:17" ht="15.75" customHeight="1">
      <c r="A61" s="1" t="s">
        <v>98</v>
      </c>
      <c r="B61" s="1" t="s">
        <v>33</v>
      </c>
      <c r="C61" s="4">
        <v>45398</v>
      </c>
      <c r="D61" s="4" t="str">
        <f>IF(
   C61 &lt; _xlfn.XLOOKUP(O61,'Campaign Metadata'!A:A,'Campaign Metadata'!B:B),
   "Before",
   IF(
      C61 &lt;= _xlfn.XLOOKUP(O61,'Campaign Metadata'!A:A,'Campaign Metadata'!C:C),
      "During",
      "After"
   )
 )</f>
        <v>Before</v>
      </c>
      <c r="E61" s="1" t="s">
        <v>16</v>
      </c>
      <c r="F61" s="1" t="s">
        <v>17</v>
      </c>
      <c r="G61" s="5">
        <v>4674</v>
      </c>
      <c r="H61" s="5">
        <v>326</v>
      </c>
      <c r="I61" s="5">
        <v>62</v>
      </c>
      <c r="J61" s="5">
        <v>45503</v>
      </c>
      <c r="K61" s="5">
        <v>46814</v>
      </c>
      <c r="L61" s="5">
        <v>116</v>
      </c>
      <c r="M61" s="6">
        <f t="shared" si="0"/>
        <v>0.11124541239039185</v>
      </c>
      <c r="N61" s="5">
        <f t="shared" si="1"/>
        <v>5062</v>
      </c>
      <c r="O61" s="1" t="s">
        <v>23</v>
      </c>
      <c r="P61" s="27" t="s">
        <v>24</v>
      </c>
      <c r="Q61" s="27" t="s">
        <v>35</v>
      </c>
    </row>
    <row r="62" spans="1:17" ht="15.75" customHeight="1">
      <c r="A62" s="1" t="s">
        <v>99</v>
      </c>
      <c r="B62" s="1" t="s">
        <v>33</v>
      </c>
      <c r="C62" s="4">
        <v>45292</v>
      </c>
      <c r="D62" s="4" t="str">
        <f>IF(
   C62 &lt; _xlfn.XLOOKUP(O62,'Campaign Metadata'!A:A,'Campaign Metadata'!B:B),
   "Before",
   IF(
      C62 &lt;= _xlfn.XLOOKUP(O62,'Campaign Metadata'!A:A,'Campaign Metadata'!C:C),
      "During",
      "After"
   )
 )</f>
        <v>Before</v>
      </c>
      <c r="E62" s="1" t="s">
        <v>56</v>
      </c>
      <c r="F62" s="1" t="s">
        <v>22</v>
      </c>
      <c r="G62" s="5">
        <v>3437</v>
      </c>
      <c r="H62" s="5">
        <v>129</v>
      </c>
      <c r="I62" s="5">
        <v>359</v>
      </c>
      <c r="J62" s="5">
        <v>44558</v>
      </c>
      <c r="K62" s="5">
        <v>30854</v>
      </c>
      <c r="L62" s="5">
        <v>171</v>
      </c>
      <c r="M62" s="6">
        <f t="shared" si="0"/>
        <v>8.8087436599488311E-2</v>
      </c>
      <c r="N62" s="5">
        <f t="shared" si="1"/>
        <v>3925</v>
      </c>
      <c r="O62" s="1" t="s">
        <v>57</v>
      </c>
      <c r="P62" s="27" t="s">
        <v>24</v>
      </c>
      <c r="Q62" s="27" t="s">
        <v>19</v>
      </c>
    </row>
    <row r="63" spans="1:17" ht="15.75" customHeight="1">
      <c r="A63" s="1" t="s">
        <v>100</v>
      </c>
      <c r="B63" s="1" t="s">
        <v>26</v>
      </c>
      <c r="C63" s="4">
        <v>45599</v>
      </c>
      <c r="D63" s="4" t="str">
        <f>IF(
   C63 &lt; _xlfn.XLOOKUP(O63,'Campaign Metadata'!A:A,'Campaign Metadata'!B:B),
   "Before",
   IF(
      C63 &lt;= _xlfn.XLOOKUP(O63,'Campaign Metadata'!A:A,'Campaign Metadata'!C:C),
      "During",
      "After"
   )
 )</f>
        <v>Before</v>
      </c>
      <c r="E63" s="1" t="s">
        <v>27</v>
      </c>
      <c r="F63" s="1" t="s">
        <v>31</v>
      </c>
      <c r="G63" s="5">
        <v>1959</v>
      </c>
      <c r="H63" s="5">
        <v>316</v>
      </c>
      <c r="I63" s="5">
        <v>82</v>
      </c>
      <c r="J63" s="5">
        <v>54036</v>
      </c>
      <c r="K63" s="5">
        <v>69015</v>
      </c>
      <c r="L63" s="5">
        <v>182</v>
      </c>
      <c r="M63" s="6">
        <f t="shared" si="0"/>
        <v>4.3619068768968837E-2</v>
      </c>
      <c r="N63" s="5">
        <f t="shared" si="1"/>
        <v>2357</v>
      </c>
      <c r="O63" s="1" t="s">
        <v>18</v>
      </c>
      <c r="P63" s="27" t="s">
        <v>29</v>
      </c>
      <c r="Q63" s="27" t="s">
        <v>20</v>
      </c>
    </row>
    <row r="64" spans="1:17" ht="15.75" customHeight="1">
      <c r="A64" s="1" t="s">
        <v>101</v>
      </c>
      <c r="B64" s="1" t="s">
        <v>26</v>
      </c>
      <c r="C64" s="4">
        <v>45480</v>
      </c>
      <c r="D64" s="4" t="str">
        <f>IF(
   C64 &lt; _xlfn.XLOOKUP(O64,'Campaign Metadata'!A:A,'Campaign Metadata'!B:B),
   "Before",
   IF(
      C64 &lt;= _xlfn.XLOOKUP(O64,'Campaign Metadata'!A:A,'Campaign Metadata'!C:C),
      "During",
      "After"
   )
 )</f>
        <v>Before</v>
      </c>
      <c r="E64" s="1" t="s">
        <v>16</v>
      </c>
      <c r="F64" s="1" t="s">
        <v>28</v>
      </c>
      <c r="G64" s="5">
        <v>1035</v>
      </c>
      <c r="H64" s="5">
        <v>137</v>
      </c>
      <c r="I64" s="5">
        <v>184</v>
      </c>
      <c r="J64" s="5">
        <v>37302</v>
      </c>
      <c r="K64" s="5">
        <v>68953</v>
      </c>
      <c r="L64" s="5">
        <v>237</v>
      </c>
      <c r="M64" s="6">
        <f t="shared" si="0"/>
        <v>3.6351938233874857E-2</v>
      </c>
      <c r="N64" s="5">
        <f t="shared" si="1"/>
        <v>1356</v>
      </c>
      <c r="O64" s="1" t="s">
        <v>23</v>
      </c>
      <c r="P64" s="27" t="s">
        <v>19</v>
      </c>
      <c r="Q64" s="27"/>
    </row>
    <row r="65" spans="1:17" ht="15.75" customHeight="1">
      <c r="A65" s="1" t="s">
        <v>102</v>
      </c>
      <c r="B65" s="1" t="s">
        <v>26</v>
      </c>
      <c r="C65" s="4">
        <v>45679</v>
      </c>
      <c r="D65" s="4" t="str">
        <f>IF(
   C65 &lt; _xlfn.XLOOKUP(O65,'Campaign Metadata'!A:A,'Campaign Metadata'!B:B),
   "Before",
   IF(
      C65 &lt;= _xlfn.XLOOKUP(O65,'Campaign Metadata'!A:A,'Campaign Metadata'!C:C),
      "During",
      "After"
   )
 )</f>
        <v>During</v>
      </c>
      <c r="E65" s="1" t="s">
        <v>27</v>
      </c>
      <c r="F65" s="1" t="s">
        <v>28</v>
      </c>
      <c r="G65" s="5">
        <v>4478</v>
      </c>
      <c r="H65" s="5">
        <v>101</v>
      </c>
      <c r="I65" s="5">
        <v>121</v>
      </c>
      <c r="J65" s="5">
        <v>51035</v>
      </c>
      <c r="K65" s="5">
        <v>58207</v>
      </c>
      <c r="L65" s="5">
        <v>205</v>
      </c>
      <c r="M65" s="6">
        <f t="shared" si="0"/>
        <v>9.2093661212893113E-2</v>
      </c>
      <c r="N65" s="5">
        <f t="shared" si="1"/>
        <v>4700</v>
      </c>
      <c r="O65" s="1" t="s">
        <v>18</v>
      </c>
      <c r="P65" s="27" t="s">
        <v>29</v>
      </c>
      <c r="Q65" s="27" t="s">
        <v>20</v>
      </c>
    </row>
    <row r="66" spans="1:17" ht="15.75" customHeight="1">
      <c r="A66" s="1" t="s">
        <v>103</v>
      </c>
      <c r="B66" s="1" t="s">
        <v>33</v>
      </c>
      <c r="C66" s="4">
        <v>45438</v>
      </c>
      <c r="D66" s="4" t="str">
        <f>IF(
   C66 &lt; _xlfn.XLOOKUP(O66,'Campaign Metadata'!A:A,'Campaign Metadata'!B:B),
   "Before",
   IF(
      C66 &lt;= _xlfn.XLOOKUP(O66,'Campaign Metadata'!A:A,'Campaign Metadata'!C:C),
      "During",
      "After"
   )
 )</f>
        <v>Before</v>
      </c>
      <c r="E66" s="1" t="s">
        <v>16</v>
      </c>
      <c r="F66" s="1" t="s">
        <v>48</v>
      </c>
      <c r="G66" s="5">
        <v>1488</v>
      </c>
      <c r="H66" s="5">
        <v>327</v>
      </c>
      <c r="I66" s="5">
        <v>110</v>
      </c>
      <c r="J66" s="5">
        <v>53805</v>
      </c>
      <c r="K66" s="5">
        <v>30239</v>
      </c>
      <c r="L66" s="5">
        <v>109</v>
      </c>
      <c r="M66" s="6">
        <f t="shared" si="0"/>
        <v>3.5777344113000653E-2</v>
      </c>
      <c r="N66" s="5">
        <f t="shared" si="1"/>
        <v>1925</v>
      </c>
      <c r="O66" s="1" t="s">
        <v>23</v>
      </c>
      <c r="P66" s="27" t="s">
        <v>24</v>
      </c>
      <c r="Q66" s="27" t="s">
        <v>35</v>
      </c>
    </row>
    <row r="67" spans="1:17" ht="15.75" customHeight="1">
      <c r="A67" s="1" t="s">
        <v>104</v>
      </c>
      <c r="B67" s="1" t="s">
        <v>15</v>
      </c>
      <c r="C67" s="4">
        <v>45763</v>
      </c>
      <c r="D67" s="4" t="str">
        <f>IF(
   C67 &lt; _xlfn.XLOOKUP(O67,'Campaign Metadata'!A:A,'Campaign Metadata'!B:B),
   "Before",
   IF(
      C67 &lt;= _xlfn.XLOOKUP(O67,'Campaign Metadata'!A:A,'Campaign Metadata'!C:C),
      "During",
      "After"
   )
 )</f>
        <v>After</v>
      </c>
      <c r="E67" s="1" t="s">
        <v>16</v>
      </c>
      <c r="F67" s="1" t="s">
        <v>31</v>
      </c>
      <c r="G67" s="5">
        <v>4836</v>
      </c>
      <c r="H67" s="5">
        <v>331</v>
      </c>
      <c r="I67" s="5">
        <v>140</v>
      </c>
      <c r="J67" s="5">
        <v>58792</v>
      </c>
      <c r="K67" s="5">
        <v>47711</v>
      </c>
      <c r="L67" s="5">
        <v>227</v>
      </c>
      <c r="M67" s="6">
        <f t="shared" ref="M67:M130" si="2" xml:space="preserve"> (G67 +I67 +H67) / J67</f>
        <v>9.0267383317458164E-2</v>
      </c>
      <c r="N67" s="5">
        <f t="shared" ref="N67:N130" si="3" xml:space="preserve"> G67+H67+I67</f>
        <v>5307</v>
      </c>
      <c r="O67" s="1" t="s">
        <v>18</v>
      </c>
      <c r="P67" s="27" t="s">
        <v>19</v>
      </c>
      <c r="Q67" s="27" t="s">
        <v>20</v>
      </c>
    </row>
    <row r="68" spans="1:17" ht="15.75" customHeight="1">
      <c r="A68" s="1" t="s">
        <v>105</v>
      </c>
      <c r="B68" s="1" t="s">
        <v>33</v>
      </c>
      <c r="C68" s="4">
        <v>45384</v>
      </c>
      <c r="D68" s="4" t="str">
        <f>IF(
   C68 &lt; _xlfn.XLOOKUP(O68,'Campaign Metadata'!A:A,'Campaign Metadata'!B:B),
   "Before",
   IF(
      C68 &lt;= _xlfn.XLOOKUP(O68,'Campaign Metadata'!A:A,'Campaign Metadata'!C:C),
      "During",
      "After"
   )
 )</f>
        <v>Before</v>
      </c>
      <c r="E68" s="1" t="s">
        <v>56</v>
      </c>
      <c r="F68" s="1" t="s">
        <v>50</v>
      </c>
      <c r="G68" s="5">
        <v>4563</v>
      </c>
      <c r="H68" s="5">
        <v>488</v>
      </c>
      <c r="I68" s="5">
        <v>356</v>
      </c>
      <c r="J68" s="5">
        <v>30619</v>
      </c>
      <c r="K68" s="5">
        <v>23328</v>
      </c>
      <c r="L68" s="5">
        <v>267</v>
      </c>
      <c r="M68" s="6">
        <f t="shared" si="2"/>
        <v>0.17658969920637513</v>
      </c>
      <c r="N68" s="5">
        <f t="shared" si="3"/>
        <v>5407</v>
      </c>
      <c r="O68" s="1" t="s">
        <v>57</v>
      </c>
      <c r="P68" s="27" t="s">
        <v>24</v>
      </c>
      <c r="Q68" s="27" t="s">
        <v>19</v>
      </c>
    </row>
    <row r="69" spans="1:17" ht="15.75" customHeight="1">
      <c r="A69" s="1" t="s">
        <v>106</v>
      </c>
      <c r="B69" s="1" t="s">
        <v>26</v>
      </c>
      <c r="C69" s="4">
        <v>45379</v>
      </c>
      <c r="D69" s="4" t="str">
        <f>IF(
   C69 &lt; _xlfn.XLOOKUP(O69,'Campaign Metadata'!A:A,'Campaign Metadata'!B:B),
   "Before",
   IF(
      C69 &lt;= _xlfn.XLOOKUP(O69,'Campaign Metadata'!A:A,'Campaign Metadata'!C:C),
      "During",
      "After"
   )
 )</f>
        <v>Before</v>
      </c>
      <c r="E69" s="1" t="s">
        <v>16</v>
      </c>
      <c r="F69" s="1" t="s">
        <v>34</v>
      </c>
      <c r="G69" s="5">
        <v>3276</v>
      </c>
      <c r="H69" s="5">
        <v>421</v>
      </c>
      <c r="I69" s="5">
        <v>114</v>
      </c>
      <c r="J69" s="5">
        <v>20580</v>
      </c>
      <c r="K69" s="5">
        <v>30324</v>
      </c>
      <c r="L69" s="5">
        <v>221</v>
      </c>
      <c r="M69" s="6">
        <f t="shared" si="2"/>
        <v>0.18517978620019437</v>
      </c>
      <c r="N69" s="5">
        <f t="shared" si="3"/>
        <v>3811</v>
      </c>
      <c r="O69" s="1" t="s">
        <v>23</v>
      </c>
      <c r="P69" s="27" t="s">
        <v>19</v>
      </c>
      <c r="Q69" s="27"/>
    </row>
    <row r="70" spans="1:17" ht="15.75" customHeight="1">
      <c r="A70" s="1" t="s">
        <v>107</v>
      </c>
      <c r="B70" s="1" t="s">
        <v>26</v>
      </c>
      <c r="C70" s="4">
        <v>45643</v>
      </c>
      <c r="D70" s="4" t="str">
        <f>IF(
   C70 &lt; _xlfn.XLOOKUP(O70,'Campaign Metadata'!A:A,'Campaign Metadata'!B:B),
   "Before",
   IF(
      C70 &lt;= _xlfn.XLOOKUP(O70,'Campaign Metadata'!A:A,'Campaign Metadata'!C:C),
      "During",
      "After"
   )
 )</f>
        <v>Before</v>
      </c>
      <c r="E70" s="1" t="s">
        <v>27</v>
      </c>
      <c r="F70" s="1" t="s">
        <v>34</v>
      </c>
      <c r="G70" s="5">
        <v>1316</v>
      </c>
      <c r="H70" s="5">
        <v>472</v>
      </c>
      <c r="I70" s="5">
        <v>286</v>
      </c>
      <c r="J70" s="5">
        <v>44692</v>
      </c>
      <c r="K70" s="5">
        <v>53343</v>
      </c>
      <c r="L70" s="5">
        <v>227</v>
      </c>
      <c r="M70" s="6">
        <f t="shared" si="2"/>
        <v>4.6406515707509172E-2</v>
      </c>
      <c r="N70" s="5">
        <f t="shared" si="3"/>
        <v>2074</v>
      </c>
      <c r="O70" s="1" t="s">
        <v>18</v>
      </c>
      <c r="P70" s="27" t="s">
        <v>24</v>
      </c>
      <c r="Q70" s="27" t="s">
        <v>29</v>
      </c>
    </row>
    <row r="71" spans="1:17" ht="15.75" customHeight="1">
      <c r="A71" s="1" t="s">
        <v>108</v>
      </c>
      <c r="B71" s="1" t="s">
        <v>26</v>
      </c>
      <c r="C71" s="4">
        <v>45662</v>
      </c>
      <c r="D71" s="4" t="str">
        <f>IF(
   C71 &lt; _xlfn.XLOOKUP(O71,'Campaign Metadata'!A:A,'Campaign Metadata'!B:B),
   "Before",
   IF(
      C71 &lt;= _xlfn.XLOOKUP(O71,'Campaign Metadata'!A:A,'Campaign Metadata'!C:C),
      "During",
      "After"
   )
 )</f>
        <v>Before</v>
      </c>
      <c r="E71" s="1" t="s">
        <v>16</v>
      </c>
      <c r="F71" s="1" t="s">
        <v>31</v>
      </c>
      <c r="G71" s="5">
        <v>4811</v>
      </c>
      <c r="H71" s="5">
        <v>473</v>
      </c>
      <c r="I71" s="5">
        <v>254</v>
      </c>
      <c r="J71" s="5">
        <v>51964</v>
      </c>
      <c r="K71" s="5">
        <v>68795</v>
      </c>
      <c r="L71" s="5">
        <v>107</v>
      </c>
      <c r="M71" s="6">
        <f t="shared" si="2"/>
        <v>0.10657378184897237</v>
      </c>
      <c r="N71" s="5">
        <f t="shared" si="3"/>
        <v>5538</v>
      </c>
      <c r="O71" s="1" t="s">
        <v>18</v>
      </c>
      <c r="P71" s="27" t="s">
        <v>20</v>
      </c>
      <c r="Q71" s="27"/>
    </row>
    <row r="72" spans="1:17" ht="15.75" customHeight="1">
      <c r="A72" s="1" t="s">
        <v>109</v>
      </c>
      <c r="B72" s="1" t="s">
        <v>26</v>
      </c>
      <c r="C72" s="4">
        <v>45302</v>
      </c>
      <c r="D72" s="4" t="str">
        <f>IF(
   C72 &lt; _xlfn.XLOOKUP(O72,'Campaign Metadata'!A:A,'Campaign Metadata'!B:B),
   "Before",
   IF(
      C72 &lt;= _xlfn.XLOOKUP(O72,'Campaign Metadata'!A:A,'Campaign Metadata'!C:C),
      "During",
      "After"
   )
 )</f>
        <v>Before</v>
      </c>
      <c r="E72" s="1" t="s">
        <v>16</v>
      </c>
      <c r="F72" s="1" t="s">
        <v>37</v>
      </c>
      <c r="G72" s="5">
        <v>4218</v>
      </c>
      <c r="H72" s="5">
        <v>247</v>
      </c>
      <c r="I72" s="5">
        <v>183</v>
      </c>
      <c r="J72" s="5">
        <v>28914</v>
      </c>
      <c r="K72" s="5">
        <v>18310</v>
      </c>
      <c r="L72" s="5">
        <v>135</v>
      </c>
      <c r="M72" s="6">
        <f t="shared" si="2"/>
        <v>0.1607525766064882</v>
      </c>
      <c r="N72" s="5">
        <f t="shared" si="3"/>
        <v>4648</v>
      </c>
      <c r="O72" s="1" t="s">
        <v>23</v>
      </c>
      <c r="P72" s="27" t="s">
        <v>19</v>
      </c>
      <c r="Q72" s="27"/>
    </row>
    <row r="73" spans="1:17" ht="15.75" customHeight="1">
      <c r="A73" s="1" t="s">
        <v>110</v>
      </c>
      <c r="B73" s="1" t="s">
        <v>15</v>
      </c>
      <c r="C73" s="4">
        <v>45576</v>
      </c>
      <c r="D73" s="4" t="str">
        <f>IF(
   C73 &lt; _xlfn.XLOOKUP(O73,'Campaign Metadata'!A:A,'Campaign Metadata'!B:B),
   "Before",
   IF(
      C73 &lt;= _xlfn.XLOOKUP(O73,'Campaign Metadata'!A:A,'Campaign Metadata'!C:C),
      "During",
      "After"
   )
 )</f>
        <v>Before</v>
      </c>
      <c r="E73" s="1" t="s">
        <v>16</v>
      </c>
      <c r="F73" s="1" t="s">
        <v>48</v>
      </c>
      <c r="G73" s="5">
        <v>1360</v>
      </c>
      <c r="H73" s="5">
        <v>249</v>
      </c>
      <c r="I73" s="5">
        <v>52</v>
      </c>
      <c r="J73" s="5">
        <v>20368</v>
      </c>
      <c r="K73" s="5">
        <v>42152</v>
      </c>
      <c r="L73" s="5">
        <v>193</v>
      </c>
      <c r="M73" s="6">
        <f t="shared" si="2"/>
        <v>8.1549489395129612E-2</v>
      </c>
      <c r="N73" s="5">
        <f t="shared" si="3"/>
        <v>1661</v>
      </c>
      <c r="O73" s="1" t="s">
        <v>23</v>
      </c>
      <c r="P73" s="27" t="s">
        <v>24</v>
      </c>
      <c r="Q73" s="27"/>
    </row>
    <row r="74" spans="1:17" ht="15.75" customHeight="1">
      <c r="A74" s="1" t="s">
        <v>111</v>
      </c>
      <c r="B74" s="1" t="s">
        <v>33</v>
      </c>
      <c r="C74" s="4">
        <v>45783</v>
      </c>
      <c r="D74" s="4" t="str">
        <f>IF(
   C74 &lt; _xlfn.XLOOKUP(O74,'Campaign Metadata'!A:A,'Campaign Metadata'!B:B),
   "Before",
   IF(
      C74 &lt;= _xlfn.XLOOKUP(O74,'Campaign Metadata'!A:A,'Campaign Metadata'!C:C),
      "During",
      "After"
   )
 )</f>
        <v>After</v>
      </c>
      <c r="E74" s="1" t="s">
        <v>56</v>
      </c>
      <c r="F74" s="1" t="s">
        <v>17</v>
      </c>
      <c r="G74" s="5">
        <v>1085</v>
      </c>
      <c r="H74" s="5">
        <v>496</v>
      </c>
      <c r="I74" s="5">
        <v>320</v>
      </c>
      <c r="J74" s="5">
        <v>36528</v>
      </c>
      <c r="K74" s="5">
        <v>38599</v>
      </c>
      <c r="L74" s="5">
        <v>270</v>
      </c>
      <c r="M74" s="6">
        <f t="shared" si="2"/>
        <v>5.2042268944371438E-2</v>
      </c>
      <c r="N74" s="5">
        <f t="shared" si="3"/>
        <v>1901</v>
      </c>
      <c r="O74" s="1" t="s">
        <v>57</v>
      </c>
      <c r="P74" s="27" t="s">
        <v>24</v>
      </c>
      <c r="Q74" s="27" t="s">
        <v>19</v>
      </c>
    </row>
    <row r="75" spans="1:17" ht="15.75" customHeight="1">
      <c r="A75" s="1" t="s">
        <v>112</v>
      </c>
      <c r="B75" s="1" t="s">
        <v>26</v>
      </c>
      <c r="C75" s="4">
        <v>45431</v>
      </c>
      <c r="D75" s="4" t="str">
        <f>IF(
   C75 &lt; _xlfn.XLOOKUP(O75,'Campaign Metadata'!A:A,'Campaign Metadata'!B:B),
   "Before",
   IF(
      C75 &lt;= _xlfn.XLOOKUP(O75,'Campaign Metadata'!A:A,'Campaign Metadata'!C:C),
      "During",
      "After"
   )
 )</f>
        <v>Before</v>
      </c>
      <c r="E75" s="1" t="s">
        <v>27</v>
      </c>
      <c r="F75" s="1" t="s">
        <v>39</v>
      </c>
      <c r="G75" s="5">
        <v>1763</v>
      </c>
      <c r="H75" s="5">
        <v>206</v>
      </c>
      <c r="I75" s="5">
        <v>187</v>
      </c>
      <c r="J75" s="5">
        <v>53342</v>
      </c>
      <c r="K75" s="5">
        <v>25095</v>
      </c>
      <c r="L75" s="5">
        <v>88</v>
      </c>
      <c r="M75" s="6">
        <f t="shared" si="2"/>
        <v>4.0418432004799221E-2</v>
      </c>
      <c r="N75" s="5">
        <f t="shared" si="3"/>
        <v>2156</v>
      </c>
      <c r="O75" s="1" t="s">
        <v>18</v>
      </c>
      <c r="P75" s="27" t="s">
        <v>24</v>
      </c>
      <c r="Q75" s="27" t="s">
        <v>29</v>
      </c>
    </row>
    <row r="76" spans="1:17" ht="15.75" customHeight="1">
      <c r="A76" s="1" t="s">
        <v>113</v>
      </c>
      <c r="B76" s="1" t="s">
        <v>26</v>
      </c>
      <c r="C76" s="4">
        <v>45313</v>
      </c>
      <c r="D76" s="4" t="str">
        <f>IF(
   C76 &lt; _xlfn.XLOOKUP(O76,'Campaign Metadata'!A:A,'Campaign Metadata'!B:B),
   "Before",
   IF(
      C76 &lt;= _xlfn.XLOOKUP(O76,'Campaign Metadata'!A:A,'Campaign Metadata'!C:C),
      "During",
      "After"
   )
 )</f>
        <v>Before</v>
      </c>
      <c r="E76" s="1" t="s">
        <v>27</v>
      </c>
      <c r="F76" s="1" t="s">
        <v>48</v>
      </c>
      <c r="G76" s="5">
        <v>1554</v>
      </c>
      <c r="H76" s="5">
        <v>455</v>
      </c>
      <c r="I76" s="5">
        <v>158</v>
      </c>
      <c r="J76" s="5">
        <v>41947</v>
      </c>
      <c r="K76" s="5">
        <v>48578</v>
      </c>
      <c r="L76" s="5">
        <v>101</v>
      </c>
      <c r="M76" s="6">
        <f t="shared" si="2"/>
        <v>5.1660428636136076E-2</v>
      </c>
      <c r="N76" s="5">
        <f t="shared" si="3"/>
        <v>2167</v>
      </c>
      <c r="O76" s="1" t="s">
        <v>18</v>
      </c>
      <c r="P76" s="27" t="s">
        <v>19</v>
      </c>
      <c r="Q76" s="27" t="s">
        <v>20</v>
      </c>
    </row>
    <row r="77" spans="1:17" ht="15.75" customHeight="1">
      <c r="A77" s="1" t="s">
        <v>114</v>
      </c>
      <c r="B77" s="1" t="s">
        <v>15</v>
      </c>
      <c r="C77" s="4">
        <v>45487</v>
      </c>
      <c r="D77" s="4" t="str">
        <f>IF(
   C77 &lt; _xlfn.XLOOKUP(O77,'Campaign Metadata'!A:A,'Campaign Metadata'!B:B),
   "Before",
   IF(
      C77 &lt;= _xlfn.XLOOKUP(O77,'Campaign Metadata'!A:A,'Campaign Metadata'!C:C),
      "During",
      "After"
   )
 )</f>
        <v>Before</v>
      </c>
      <c r="E77" s="1" t="s">
        <v>16</v>
      </c>
      <c r="F77" s="1" t="s">
        <v>31</v>
      </c>
      <c r="G77" s="5">
        <v>2464</v>
      </c>
      <c r="H77" s="5">
        <v>401</v>
      </c>
      <c r="I77" s="5">
        <v>78</v>
      </c>
      <c r="J77" s="5">
        <v>38665</v>
      </c>
      <c r="K77" s="5">
        <v>73593</v>
      </c>
      <c r="L77" s="5">
        <v>207</v>
      </c>
      <c r="M77" s="6">
        <f t="shared" si="2"/>
        <v>7.611534979956032E-2</v>
      </c>
      <c r="N77" s="5">
        <f t="shared" si="3"/>
        <v>2943</v>
      </c>
      <c r="O77" s="1" t="s">
        <v>23</v>
      </c>
      <c r="P77" s="27" t="s">
        <v>24</v>
      </c>
      <c r="Q77" s="27"/>
    </row>
    <row r="78" spans="1:17" ht="15.75" customHeight="1">
      <c r="A78" s="1" t="s">
        <v>115</v>
      </c>
      <c r="B78" s="1" t="s">
        <v>26</v>
      </c>
      <c r="C78" s="4">
        <v>45805</v>
      </c>
      <c r="D78" s="4" t="str">
        <f>IF(
   C78 &lt; _xlfn.XLOOKUP(O78,'Campaign Metadata'!A:A,'Campaign Metadata'!B:B),
   "Before",
   IF(
      C78 &lt;= _xlfn.XLOOKUP(O78,'Campaign Metadata'!A:A,'Campaign Metadata'!C:C),
      "During",
      "After"
   )
 )</f>
        <v>After</v>
      </c>
      <c r="E78" s="1" t="s">
        <v>16</v>
      </c>
      <c r="F78" s="1" t="s">
        <v>48</v>
      </c>
      <c r="G78" s="5">
        <v>2418</v>
      </c>
      <c r="H78" s="5">
        <v>161</v>
      </c>
      <c r="I78" s="5">
        <v>360</v>
      </c>
      <c r="J78" s="5">
        <v>30589</v>
      </c>
      <c r="K78" s="5">
        <v>41383</v>
      </c>
      <c r="L78" s="5">
        <v>88</v>
      </c>
      <c r="M78" s="6">
        <f t="shared" si="2"/>
        <v>9.6080290300434801E-2</v>
      </c>
      <c r="N78" s="5">
        <f t="shared" si="3"/>
        <v>2939</v>
      </c>
      <c r="O78" s="1" t="s">
        <v>18</v>
      </c>
      <c r="P78" s="27" t="s">
        <v>20</v>
      </c>
      <c r="Q78" s="27"/>
    </row>
    <row r="79" spans="1:17" ht="15.75" customHeight="1">
      <c r="A79" s="1" t="s">
        <v>116</v>
      </c>
      <c r="B79" s="1" t="s">
        <v>26</v>
      </c>
      <c r="C79" s="4">
        <v>45678</v>
      </c>
      <c r="D79" s="4" t="str">
        <f>IF(
   C79 &lt; _xlfn.XLOOKUP(O79,'Campaign Metadata'!A:A,'Campaign Metadata'!B:B),
   "Before",
   IF(
      C79 &lt;= _xlfn.XLOOKUP(O79,'Campaign Metadata'!A:A,'Campaign Metadata'!C:C),
      "During",
      "After"
   )
 )</f>
        <v>During</v>
      </c>
      <c r="E79" s="1" t="s">
        <v>27</v>
      </c>
      <c r="F79" s="1" t="s">
        <v>17</v>
      </c>
      <c r="G79" s="5">
        <v>2494</v>
      </c>
      <c r="H79" s="5">
        <v>494</v>
      </c>
      <c r="I79" s="5">
        <v>55</v>
      </c>
      <c r="J79" s="5">
        <v>22580</v>
      </c>
      <c r="K79" s="5">
        <v>22214</v>
      </c>
      <c r="L79" s="5">
        <v>109</v>
      </c>
      <c r="M79" s="6">
        <f t="shared" si="2"/>
        <v>0.13476527900797167</v>
      </c>
      <c r="N79" s="5">
        <f t="shared" si="3"/>
        <v>3043</v>
      </c>
      <c r="O79" s="1" t="s">
        <v>18</v>
      </c>
      <c r="P79" s="27" t="s">
        <v>29</v>
      </c>
      <c r="Q79" s="27" t="s">
        <v>20</v>
      </c>
    </row>
    <row r="80" spans="1:17" ht="15.75" customHeight="1">
      <c r="A80" s="1" t="s">
        <v>117</v>
      </c>
      <c r="B80" s="1" t="s">
        <v>33</v>
      </c>
      <c r="C80" s="4">
        <v>45304</v>
      </c>
      <c r="D80" s="4" t="str">
        <f>IF(
   C80 &lt; _xlfn.XLOOKUP(O80,'Campaign Metadata'!A:A,'Campaign Metadata'!B:B),
   "Before",
   IF(
      C80 &lt;= _xlfn.XLOOKUP(O80,'Campaign Metadata'!A:A,'Campaign Metadata'!C:C),
      "During",
      "After"
   )
 )</f>
        <v>Before</v>
      </c>
      <c r="E80" s="1" t="s">
        <v>56</v>
      </c>
      <c r="F80" s="1" t="s">
        <v>28</v>
      </c>
      <c r="G80" s="5">
        <v>4781</v>
      </c>
      <c r="H80" s="5">
        <v>191</v>
      </c>
      <c r="I80" s="5">
        <v>122</v>
      </c>
      <c r="J80" s="5">
        <v>35535</v>
      </c>
      <c r="K80" s="5">
        <v>50777</v>
      </c>
      <c r="L80" s="5">
        <v>128</v>
      </c>
      <c r="M80" s="6">
        <f t="shared" si="2"/>
        <v>0.14335162515829464</v>
      </c>
      <c r="N80" s="5">
        <f t="shared" si="3"/>
        <v>5094</v>
      </c>
      <c r="O80" s="1" t="s">
        <v>57</v>
      </c>
      <c r="P80" s="27" t="s">
        <v>24</v>
      </c>
      <c r="Q80" s="27" t="s">
        <v>19</v>
      </c>
    </row>
    <row r="81" spans="1:17" ht="15.75" customHeight="1">
      <c r="A81" s="1" t="s">
        <v>118</v>
      </c>
      <c r="B81" s="1" t="s">
        <v>15</v>
      </c>
      <c r="C81" s="4">
        <v>45825</v>
      </c>
      <c r="D81" s="4" t="str">
        <f>IF(
   C81 &lt; _xlfn.XLOOKUP(O81,'Campaign Metadata'!A:A,'Campaign Metadata'!B:B),
   "Before",
   IF(
      C81 &lt;= _xlfn.XLOOKUP(O81,'Campaign Metadata'!A:A,'Campaign Metadata'!C:C),
      "During",
      "After"
   )
 )</f>
        <v>After</v>
      </c>
      <c r="E81" s="1" t="s">
        <v>16</v>
      </c>
      <c r="F81" s="1" t="s">
        <v>34</v>
      </c>
      <c r="G81" s="5">
        <v>2284</v>
      </c>
      <c r="H81" s="5">
        <v>187</v>
      </c>
      <c r="I81" s="5">
        <v>260</v>
      </c>
      <c r="J81" s="5">
        <v>37400</v>
      </c>
      <c r="K81" s="5">
        <v>65014</v>
      </c>
      <c r="L81" s="5">
        <v>157</v>
      </c>
      <c r="M81" s="6">
        <f t="shared" si="2"/>
        <v>7.3021390374331557E-2</v>
      </c>
      <c r="N81" s="5">
        <f t="shared" si="3"/>
        <v>2731</v>
      </c>
      <c r="O81" s="1" t="s">
        <v>18</v>
      </c>
      <c r="P81" s="27" t="s">
        <v>19</v>
      </c>
      <c r="Q81" s="27" t="s">
        <v>20</v>
      </c>
    </row>
    <row r="82" spans="1:17" ht="15.75" customHeight="1">
      <c r="A82" s="1" t="s">
        <v>119</v>
      </c>
      <c r="B82" s="1" t="s">
        <v>26</v>
      </c>
      <c r="C82" s="4">
        <v>45723</v>
      </c>
      <c r="D82" s="4" t="str">
        <f>IF(
   C82 &lt; _xlfn.XLOOKUP(O82,'Campaign Metadata'!A:A,'Campaign Metadata'!B:B),
   "Before",
   IF(
      C82 &lt;= _xlfn.XLOOKUP(O82,'Campaign Metadata'!A:A,'Campaign Metadata'!C:C),
      "During",
      "After"
   )
 )</f>
        <v>During</v>
      </c>
      <c r="E82" s="1" t="s">
        <v>16</v>
      </c>
      <c r="F82" s="1" t="s">
        <v>39</v>
      </c>
      <c r="G82" s="5">
        <v>4234</v>
      </c>
      <c r="H82" s="5">
        <v>486</v>
      </c>
      <c r="I82" s="5">
        <v>276</v>
      </c>
      <c r="J82" s="5">
        <v>56623</v>
      </c>
      <c r="K82" s="5">
        <v>41343</v>
      </c>
      <c r="L82" s="5">
        <v>184</v>
      </c>
      <c r="M82" s="6">
        <f t="shared" si="2"/>
        <v>8.8232696960599044E-2</v>
      </c>
      <c r="N82" s="5">
        <f t="shared" si="3"/>
        <v>4996</v>
      </c>
      <c r="O82" s="1" t="s">
        <v>23</v>
      </c>
      <c r="P82" s="27" t="s">
        <v>19</v>
      </c>
      <c r="Q82" s="27"/>
    </row>
    <row r="83" spans="1:17" ht="15.75" customHeight="1">
      <c r="A83" s="1" t="s">
        <v>120</v>
      </c>
      <c r="B83" s="1" t="s">
        <v>15</v>
      </c>
      <c r="C83" s="4">
        <v>45530</v>
      </c>
      <c r="D83" s="4" t="str">
        <f>IF(
   C83 &lt; _xlfn.XLOOKUP(O83,'Campaign Metadata'!A:A,'Campaign Metadata'!B:B),
   "Before",
   IF(
      C83 &lt;= _xlfn.XLOOKUP(O83,'Campaign Metadata'!A:A,'Campaign Metadata'!C:C),
      "During",
      "After"
   )
 )</f>
        <v>Before</v>
      </c>
      <c r="E83" s="1" t="s">
        <v>16</v>
      </c>
      <c r="F83" s="1" t="s">
        <v>50</v>
      </c>
      <c r="G83" s="5">
        <v>2102</v>
      </c>
      <c r="H83" s="5">
        <v>181</v>
      </c>
      <c r="I83" s="5">
        <v>306</v>
      </c>
      <c r="J83" s="5">
        <v>43650</v>
      </c>
      <c r="K83" s="5">
        <v>50079</v>
      </c>
      <c r="L83" s="5">
        <v>182</v>
      </c>
      <c r="M83" s="6">
        <f t="shared" si="2"/>
        <v>5.9312714776632303E-2</v>
      </c>
      <c r="N83" s="5">
        <f t="shared" si="3"/>
        <v>2589</v>
      </c>
      <c r="O83" s="1" t="s">
        <v>23</v>
      </c>
      <c r="P83" s="27" t="s">
        <v>24</v>
      </c>
      <c r="Q83" s="27"/>
    </row>
    <row r="84" spans="1:17" ht="15.75" customHeight="1">
      <c r="A84" s="1" t="s">
        <v>121</v>
      </c>
      <c r="B84" s="1" t="s">
        <v>26</v>
      </c>
      <c r="C84" s="4">
        <v>45660</v>
      </c>
      <c r="D84" s="4" t="str">
        <f>IF(
   C84 &lt; _xlfn.XLOOKUP(O84,'Campaign Metadata'!A:A,'Campaign Metadata'!B:B),
   "Before",
   IF(
      C84 &lt;= _xlfn.XLOOKUP(O84,'Campaign Metadata'!A:A,'Campaign Metadata'!C:C),
      "During",
      "After"
   )
 )</f>
        <v>Before</v>
      </c>
      <c r="E84" s="1" t="s">
        <v>27</v>
      </c>
      <c r="F84" s="1" t="s">
        <v>39</v>
      </c>
      <c r="G84" s="5">
        <v>4845</v>
      </c>
      <c r="H84" s="5">
        <v>158</v>
      </c>
      <c r="I84" s="5">
        <v>84</v>
      </c>
      <c r="J84" s="5">
        <v>34578</v>
      </c>
      <c r="K84" s="5">
        <v>51480</v>
      </c>
      <c r="L84" s="5">
        <v>180</v>
      </c>
      <c r="M84" s="6">
        <f t="shared" si="2"/>
        <v>0.1471166637746544</v>
      </c>
      <c r="N84" s="5">
        <f t="shared" si="3"/>
        <v>5087</v>
      </c>
      <c r="O84" s="1" t="s">
        <v>18</v>
      </c>
      <c r="P84" s="27" t="s">
        <v>19</v>
      </c>
      <c r="Q84" s="27" t="s">
        <v>20</v>
      </c>
    </row>
    <row r="85" spans="1:17" ht="15.75" customHeight="1">
      <c r="A85" s="1" t="s">
        <v>122</v>
      </c>
      <c r="B85" s="1" t="s">
        <v>26</v>
      </c>
      <c r="C85" s="4">
        <v>45507</v>
      </c>
      <c r="D85" s="4" t="str">
        <f>IF(
   C85 &lt; _xlfn.XLOOKUP(O85,'Campaign Metadata'!A:A,'Campaign Metadata'!B:B),
   "Before",
   IF(
      C85 &lt;= _xlfn.XLOOKUP(O85,'Campaign Metadata'!A:A,'Campaign Metadata'!C:C),
      "During",
      "After"
   )
 )</f>
        <v>Before</v>
      </c>
      <c r="E85" s="1" t="s">
        <v>16</v>
      </c>
      <c r="F85" s="1" t="s">
        <v>50</v>
      </c>
      <c r="G85" s="5">
        <v>4247</v>
      </c>
      <c r="H85" s="5">
        <v>390</v>
      </c>
      <c r="I85" s="5">
        <v>213</v>
      </c>
      <c r="J85" s="5">
        <v>29785</v>
      </c>
      <c r="K85" s="5">
        <v>57768</v>
      </c>
      <c r="L85" s="5">
        <v>122</v>
      </c>
      <c r="M85" s="6">
        <f t="shared" si="2"/>
        <v>0.16283364109451065</v>
      </c>
      <c r="N85" s="5">
        <f t="shared" si="3"/>
        <v>4850</v>
      </c>
      <c r="O85" s="1" t="s">
        <v>18</v>
      </c>
      <c r="P85" s="27" t="s">
        <v>20</v>
      </c>
      <c r="Q85" s="27"/>
    </row>
    <row r="86" spans="1:17" ht="15.75" customHeight="1">
      <c r="A86" s="1" t="s">
        <v>123</v>
      </c>
      <c r="B86" s="1" t="s">
        <v>15</v>
      </c>
      <c r="C86" s="4">
        <v>45522</v>
      </c>
      <c r="D86" s="4" t="str">
        <f>IF(
   C86 &lt; _xlfn.XLOOKUP(O86,'Campaign Metadata'!A:A,'Campaign Metadata'!B:B),
   "Before",
   IF(
      C86 &lt;= _xlfn.XLOOKUP(O86,'Campaign Metadata'!A:A,'Campaign Metadata'!C:C),
      "During",
      "After"
   )
 )</f>
        <v>Before</v>
      </c>
      <c r="E86" s="1" t="s">
        <v>16</v>
      </c>
      <c r="F86" s="1" t="s">
        <v>22</v>
      </c>
      <c r="G86" s="5">
        <v>2965</v>
      </c>
      <c r="H86" s="5">
        <v>328</v>
      </c>
      <c r="I86" s="5">
        <v>171</v>
      </c>
      <c r="J86" s="5">
        <v>57685</v>
      </c>
      <c r="K86" s="5">
        <v>67536</v>
      </c>
      <c r="L86" s="5">
        <v>264</v>
      </c>
      <c r="M86" s="6">
        <f t="shared" si="2"/>
        <v>6.0050273034584378E-2</v>
      </c>
      <c r="N86" s="5">
        <f t="shared" si="3"/>
        <v>3464</v>
      </c>
      <c r="O86" s="1" t="s">
        <v>18</v>
      </c>
      <c r="P86" s="27" t="s">
        <v>19</v>
      </c>
      <c r="Q86" s="27" t="s">
        <v>20</v>
      </c>
    </row>
    <row r="87" spans="1:17" ht="15.75" customHeight="1">
      <c r="A87" s="1" t="s">
        <v>124</v>
      </c>
      <c r="B87" s="1" t="s">
        <v>26</v>
      </c>
      <c r="C87" s="4">
        <v>45791</v>
      </c>
      <c r="D87" s="4" t="str">
        <f>IF(
   C87 &lt; _xlfn.XLOOKUP(O87,'Campaign Metadata'!A:A,'Campaign Metadata'!B:B),
   "Before",
   IF(
      C87 &lt;= _xlfn.XLOOKUP(O87,'Campaign Metadata'!A:A,'Campaign Metadata'!C:C),
      "During",
      "After"
   )
 )</f>
        <v>After</v>
      </c>
      <c r="E87" s="1" t="s">
        <v>27</v>
      </c>
      <c r="F87" s="1" t="s">
        <v>31</v>
      </c>
      <c r="G87" s="5">
        <v>1371</v>
      </c>
      <c r="H87" s="5">
        <v>139</v>
      </c>
      <c r="I87" s="5">
        <v>96</v>
      </c>
      <c r="J87" s="5">
        <v>36140</v>
      </c>
      <c r="K87" s="5">
        <v>39395</v>
      </c>
      <c r="L87" s="5">
        <v>169</v>
      </c>
      <c r="M87" s="6">
        <f t="shared" si="2"/>
        <v>4.4438295517432211E-2</v>
      </c>
      <c r="N87" s="5">
        <f t="shared" si="3"/>
        <v>1606</v>
      </c>
      <c r="O87" s="1" t="s">
        <v>18</v>
      </c>
      <c r="P87" s="27" t="s">
        <v>19</v>
      </c>
      <c r="Q87" s="27" t="s">
        <v>20</v>
      </c>
    </row>
    <row r="88" spans="1:17" ht="15.75" customHeight="1">
      <c r="A88" s="1" t="s">
        <v>125</v>
      </c>
      <c r="B88" s="1" t="s">
        <v>26</v>
      </c>
      <c r="C88" s="4">
        <v>45405</v>
      </c>
      <c r="D88" s="4" t="str">
        <f>IF(
   C88 &lt; _xlfn.XLOOKUP(O88,'Campaign Metadata'!A:A,'Campaign Metadata'!B:B),
   "Before",
   IF(
      C88 &lt;= _xlfn.XLOOKUP(O88,'Campaign Metadata'!A:A,'Campaign Metadata'!C:C),
      "During",
      "After"
   )
 )</f>
        <v>Before</v>
      </c>
      <c r="E88" s="1" t="s">
        <v>27</v>
      </c>
      <c r="F88" s="1" t="s">
        <v>17</v>
      </c>
      <c r="G88" s="5">
        <v>2683</v>
      </c>
      <c r="H88" s="5">
        <v>496</v>
      </c>
      <c r="I88" s="5">
        <v>89</v>
      </c>
      <c r="J88" s="5">
        <v>53435</v>
      </c>
      <c r="K88" s="5">
        <v>30334</v>
      </c>
      <c r="L88" s="5">
        <v>160</v>
      </c>
      <c r="M88" s="6">
        <f t="shared" si="2"/>
        <v>6.1158416768035934E-2</v>
      </c>
      <c r="N88" s="5">
        <f t="shared" si="3"/>
        <v>3268</v>
      </c>
      <c r="O88" s="1" t="s">
        <v>18</v>
      </c>
      <c r="P88" s="27" t="s">
        <v>19</v>
      </c>
      <c r="Q88" s="27" t="s">
        <v>20</v>
      </c>
    </row>
    <row r="89" spans="1:17" ht="15.75" customHeight="1">
      <c r="A89" s="1" t="s">
        <v>126</v>
      </c>
      <c r="B89" s="1" t="s">
        <v>26</v>
      </c>
      <c r="C89" s="4">
        <v>45705</v>
      </c>
      <c r="D89" s="4" t="str">
        <f>IF(
   C89 &lt; _xlfn.XLOOKUP(O89,'Campaign Metadata'!A:A,'Campaign Metadata'!B:B),
   "Before",
   IF(
      C89 &lt;= _xlfn.XLOOKUP(O89,'Campaign Metadata'!A:A,'Campaign Metadata'!C:C),
      "During",
      "After"
   )
 )</f>
        <v>After</v>
      </c>
      <c r="E89" s="1" t="s">
        <v>27</v>
      </c>
      <c r="F89" s="1" t="s">
        <v>37</v>
      </c>
      <c r="G89" s="5">
        <v>4796</v>
      </c>
      <c r="H89" s="5">
        <v>427</v>
      </c>
      <c r="I89" s="5">
        <v>339</v>
      </c>
      <c r="J89" s="5">
        <v>30752</v>
      </c>
      <c r="K89" s="5">
        <v>33870</v>
      </c>
      <c r="L89" s="5">
        <v>298</v>
      </c>
      <c r="M89" s="6">
        <f t="shared" si="2"/>
        <v>0.18086628511966701</v>
      </c>
      <c r="N89" s="5">
        <f t="shared" si="3"/>
        <v>5562</v>
      </c>
      <c r="O89" s="1" t="s">
        <v>18</v>
      </c>
      <c r="P89" s="27" t="s">
        <v>19</v>
      </c>
      <c r="Q89" s="27" t="s">
        <v>20</v>
      </c>
    </row>
    <row r="90" spans="1:17" ht="15.75" customHeight="1">
      <c r="A90" s="1" t="s">
        <v>127</v>
      </c>
      <c r="B90" s="1" t="s">
        <v>15</v>
      </c>
      <c r="C90" s="4">
        <v>45630</v>
      </c>
      <c r="D90" s="4" t="str">
        <f>IF(
   C90 &lt; _xlfn.XLOOKUP(O90,'Campaign Metadata'!A:A,'Campaign Metadata'!B:B),
   "Before",
   IF(
      C90 &lt;= _xlfn.XLOOKUP(O90,'Campaign Metadata'!A:A,'Campaign Metadata'!C:C),
      "During",
      "After"
   )
 )</f>
        <v>Before</v>
      </c>
      <c r="E90" s="1" t="s">
        <v>16</v>
      </c>
      <c r="F90" s="1" t="s">
        <v>31</v>
      </c>
      <c r="G90" s="5">
        <v>2601</v>
      </c>
      <c r="H90" s="5">
        <v>336</v>
      </c>
      <c r="I90" s="5">
        <v>260</v>
      </c>
      <c r="J90" s="5">
        <v>32368</v>
      </c>
      <c r="K90" s="5">
        <v>49028</v>
      </c>
      <c r="L90" s="5">
        <v>120</v>
      </c>
      <c r="M90" s="6">
        <f t="shared" si="2"/>
        <v>9.8770390509144837E-2</v>
      </c>
      <c r="N90" s="5">
        <f t="shared" si="3"/>
        <v>3197</v>
      </c>
      <c r="O90" s="1" t="s">
        <v>18</v>
      </c>
      <c r="P90" s="27" t="s">
        <v>19</v>
      </c>
      <c r="Q90" s="27" t="s">
        <v>20</v>
      </c>
    </row>
    <row r="91" spans="1:17" ht="15.75" customHeight="1">
      <c r="A91" s="1" t="s">
        <v>128</v>
      </c>
      <c r="B91" s="1" t="s">
        <v>26</v>
      </c>
      <c r="C91" s="4">
        <v>45495</v>
      </c>
      <c r="D91" s="4" t="str">
        <f>IF(
   C91 &lt; _xlfn.XLOOKUP(O91,'Campaign Metadata'!A:A,'Campaign Metadata'!B:B),
   "Before",
   IF(
      C91 &lt;= _xlfn.XLOOKUP(O91,'Campaign Metadata'!A:A,'Campaign Metadata'!C:C),
      "During",
      "After"
   )
 )</f>
        <v>Before</v>
      </c>
      <c r="E91" s="1" t="s">
        <v>27</v>
      </c>
      <c r="F91" s="1" t="s">
        <v>31</v>
      </c>
      <c r="G91" s="5">
        <v>3336</v>
      </c>
      <c r="H91" s="5">
        <v>229</v>
      </c>
      <c r="I91" s="5">
        <v>337</v>
      </c>
      <c r="J91" s="5">
        <v>22117</v>
      </c>
      <c r="K91" s="5">
        <v>26205</v>
      </c>
      <c r="L91" s="5">
        <v>160</v>
      </c>
      <c r="M91" s="6">
        <f t="shared" si="2"/>
        <v>0.17642537414658407</v>
      </c>
      <c r="N91" s="5">
        <f t="shared" si="3"/>
        <v>3902</v>
      </c>
      <c r="O91" s="1" t="s">
        <v>18</v>
      </c>
      <c r="P91" s="27" t="s">
        <v>29</v>
      </c>
      <c r="Q91" s="27" t="s">
        <v>20</v>
      </c>
    </row>
    <row r="92" spans="1:17" ht="15.75" customHeight="1">
      <c r="A92" s="1" t="s">
        <v>129</v>
      </c>
      <c r="B92" s="1" t="s">
        <v>26</v>
      </c>
      <c r="C92" s="4">
        <v>45774</v>
      </c>
      <c r="D92" s="4" t="str">
        <f>IF(
   C92 &lt; _xlfn.XLOOKUP(O92,'Campaign Metadata'!A:A,'Campaign Metadata'!B:B),
   "Before",
   IF(
      C92 &lt;= _xlfn.XLOOKUP(O92,'Campaign Metadata'!A:A,'Campaign Metadata'!C:C),
      "During",
      "After"
   )
 )</f>
        <v>After</v>
      </c>
      <c r="E92" s="1" t="s">
        <v>16</v>
      </c>
      <c r="F92" s="1" t="s">
        <v>22</v>
      </c>
      <c r="G92" s="5">
        <v>1165</v>
      </c>
      <c r="H92" s="5">
        <v>294</v>
      </c>
      <c r="I92" s="5">
        <v>163</v>
      </c>
      <c r="J92" s="5">
        <v>20659</v>
      </c>
      <c r="K92" s="5">
        <v>45926</v>
      </c>
      <c r="L92" s="5">
        <v>111</v>
      </c>
      <c r="M92" s="6">
        <f t="shared" si="2"/>
        <v>7.8512996756861422E-2</v>
      </c>
      <c r="N92" s="5">
        <f t="shared" si="3"/>
        <v>1622</v>
      </c>
      <c r="O92" s="1" t="s">
        <v>23</v>
      </c>
      <c r="P92" s="27" t="s">
        <v>19</v>
      </c>
      <c r="Q92" s="27"/>
    </row>
    <row r="93" spans="1:17" ht="15.75" customHeight="1">
      <c r="A93" s="1" t="s">
        <v>130</v>
      </c>
      <c r="B93" s="1" t="s">
        <v>33</v>
      </c>
      <c r="C93" s="4">
        <v>45376</v>
      </c>
      <c r="D93" s="4" t="str">
        <f>IF(
   C93 &lt; _xlfn.XLOOKUP(O93,'Campaign Metadata'!A:A,'Campaign Metadata'!B:B),
   "Before",
   IF(
      C93 &lt;= _xlfn.XLOOKUP(O93,'Campaign Metadata'!A:A,'Campaign Metadata'!C:C),
      "During",
      "After"
   )
 )</f>
        <v>Before</v>
      </c>
      <c r="E93" s="1" t="s">
        <v>56</v>
      </c>
      <c r="F93" s="1" t="s">
        <v>22</v>
      </c>
      <c r="G93" s="5">
        <v>1948</v>
      </c>
      <c r="H93" s="5">
        <v>155</v>
      </c>
      <c r="I93" s="5">
        <v>315</v>
      </c>
      <c r="J93" s="5">
        <v>30321</v>
      </c>
      <c r="K93" s="5">
        <v>57121</v>
      </c>
      <c r="L93" s="5">
        <v>82</v>
      </c>
      <c r="M93" s="6">
        <f t="shared" si="2"/>
        <v>7.974671020085089E-2</v>
      </c>
      <c r="N93" s="5">
        <f t="shared" si="3"/>
        <v>2418</v>
      </c>
      <c r="O93" s="1" t="s">
        <v>57</v>
      </c>
      <c r="P93" s="27" t="s">
        <v>24</v>
      </c>
      <c r="Q93" s="27" t="s">
        <v>19</v>
      </c>
    </row>
    <row r="94" spans="1:17" ht="15.75" customHeight="1">
      <c r="A94" s="1" t="s">
        <v>131</v>
      </c>
      <c r="B94" s="1" t="s">
        <v>15</v>
      </c>
      <c r="C94" s="4">
        <v>45351</v>
      </c>
      <c r="D94" s="4" t="str">
        <f>IF(
   C94 &lt; _xlfn.XLOOKUP(O94,'Campaign Metadata'!A:A,'Campaign Metadata'!B:B),
   "Before",
   IF(
      C94 &lt;= _xlfn.XLOOKUP(O94,'Campaign Metadata'!A:A,'Campaign Metadata'!C:C),
      "During",
      "After"
   )
 )</f>
        <v>Before</v>
      </c>
      <c r="E94" s="1" t="s">
        <v>16</v>
      </c>
      <c r="F94" s="1" t="s">
        <v>48</v>
      </c>
      <c r="G94" s="5">
        <v>1100</v>
      </c>
      <c r="H94" s="5">
        <v>229</v>
      </c>
      <c r="I94" s="5">
        <v>312</v>
      </c>
      <c r="J94" s="5">
        <v>25641</v>
      </c>
      <c r="K94" s="5">
        <v>34601</v>
      </c>
      <c r="L94" s="5">
        <v>169</v>
      </c>
      <c r="M94" s="6">
        <f t="shared" si="2"/>
        <v>6.3999063999063993E-2</v>
      </c>
      <c r="N94" s="5">
        <f t="shared" si="3"/>
        <v>1641</v>
      </c>
      <c r="O94" s="1" t="s">
        <v>23</v>
      </c>
      <c r="P94" s="27" t="s">
        <v>24</v>
      </c>
      <c r="Q94" s="27"/>
    </row>
    <row r="95" spans="1:17" ht="15.75" customHeight="1">
      <c r="A95" s="1" t="s">
        <v>132</v>
      </c>
      <c r="B95" s="1" t="s">
        <v>26</v>
      </c>
      <c r="C95" s="4">
        <v>45609</v>
      </c>
      <c r="D95" s="4" t="str">
        <f>IF(
   C95 &lt; _xlfn.XLOOKUP(O95,'Campaign Metadata'!A:A,'Campaign Metadata'!B:B),
   "Before",
   IF(
      C95 &lt;= _xlfn.XLOOKUP(O95,'Campaign Metadata'!A:A,'Campaign Metadata'!C:C),
      "During",
      "After"
   )
 )</f>
        <v>Before</v>
      </c>
      <c r="E95" s="1" t="s">
        <v>27</v>
      </c>
      <c r="F95" s="1" t="s">
        <v>42</v>
      </c>
      <c r="G95" s="5">
        <v>4628</v>
      </c>
      <c r="H95" s="5">
        <v>257</v>
      </c>
      <c r="I95" s="5">
        <v>397</v>
      </c>
      <c r="J95" s="5">
        <v>36686</v>
      </c>
      <c r="K95" s="5">
        <v>54683</v>
      </c>
      <c r="L95" s="5">
        <v>98</v>
      </c>
      <c r="M95" s="6">
        <f t="shared" si="2"/>
        <v>0.1439786294499264</v>
      </c>
      <c r="N95" s="5">
        <f t="shared" si="3"/>
        <v>5282</v>
      </c>
      <c r="O95" s="1" t="s">
        <v>18</v>
      </c>
      <c r="P95" s="27" t="s">
        <v>19</v>
      </c>
      <c r="Q95" s="27" t="s">
        <v>20</v>
      </c>
    </row>
    <row r="96" spans="1:17" ht="15.75" customHeight="1">
      <c r="A96" s="1" t="s">
        <v>133</v>
      </c>
      <c r="B96" s="1" t="s">
        <v>15</v>
      </c>
      <c r="C96" s="4">
        <v>45373</v>
      </c>
      <c r="D96" s="4" t="str">
        <f>IF(
   C96 &lt; _xlfn.XLOOKUP(O96,'Campaign Metadata'!A:A,'Campaign Metadata'!B:B),
   "Before",
   IF(
      C96 &lt;= _xlfn.XLOOKUP(O96,'Campaign Metadata'!A:A,'Campaign Metadata'!C:C),
      "During",
      "After"
   )
 )</f>
        <v>Before</v>
      </c>
      <c r="E96" s="1" t="s">
        <v>27</v>
      </c>
      <c r="F96" s="1" t="s">
        <v>17</v>
      </c>
      <c r="G96" s="5">
        <v>2319</v>
      </c>
      <c r="H96" s="5">
        <v>484</v>
      </c>
      <c r="I96" s="5">
        <v>193</v>
      </c>
      <c r="J96" s="5">
        <v>21202</v>
      </c>
      <c r="K96" s="5">
        <v>18091</v>
      </c>
      <c r="L96" s="5">
        <v>241</v>
      </c>
      <c r="M96" s="6">
        <f t="shared" si="2"/>
        <v>0.14130742382794076</v>
      </c>
      <c r="N96" s="5">
        <f t="shared" si="3"/>
        <v>2996</v>
      </c>
      <c r="O96" s="1" t="s">
        <v>54</v>
      </c>
      <c r="P96" s="27" t="s">
        <v>20</v>
      </c>
      <c r="Q96" s="27"/>
    </row>
    <row r="97" spans="1:17" ht="15.75" customHeight="1">
      <c r="A97" s="1" t="s">
        <v>134</v>
      </c>
      <c r="B97" s="1" t="s">
        <v>26</v>
      </c>
      <c r="C97" s="4">
        <v>45367</v>
      </c>
      <c r="D97" s="4" t="str">
        <f>IF(
   C97 &lt; _xlfn.XLOOKUP(O97,'Campaign Metadata'!A:A,'Campaign Metadata'!B:B),
   "Before",
   IF(
      C97 &lt;= _xlfn.XLOOKUP(O97,'Campaign Metadata'!A:A,'Campaign Metadata'!C:C),
      "During",
      "After"
   )
 )</f>
        <v>Before</v>
      </c>
      <c r="E97" s="1" t="s">
        <v>27</v>
      </c>
      <c r="F97" s="1" t="s">
        <v>31</v>
      </c>
      <c r="G97" s="5">
        <v>2895</v>
      </c>
      <c r="H97" s="5">
        <v>292</v>
      </c>
      <c r="I97" s="5">
        <v>90</v>
      </c>
      <c r="J97" s="5">
        <v>24223</v>
      </c>
      <c r="K97" s="5">
        <v>54626</v>
      </c>
      <c r="L97" s="5">
        <v>114</v>
      </c>
      <c r="M97" s="6">
        <f t="shared" si="2"/>
        <v>0.13528464682326713</v>
      </c>
      <c r="N97" s="5">
        <f t="shared" si="3"/>
        <v>3277</v>
      </c>
      <c r="O97" s="1" t="s">
        <v>18</v>
      </c>
      <c r="P97" s="27" t="s">
        <v>19</v>
      </c>
      <c r="Q97" s="27" t="s">
        <v>20</v>
      </c>
    </row>
    <row r="98" spans="1:17" ht="15.75" customHeight="1">
      <c r="A98" s="1" t="s">
        <v>135</v>
      </c>
      <c r="B98" s="1" t="s">
        <v>15</v>
      </c>
      <c r="C98" s="4">
        <v>45317</v>
      </c>
      <c r="D98" s="4" t="str">
        <f>IF(
   C98 &lt; _xlfn.XLOOKUP(O98,'Campaign Metadata'!A:A,'Campaign Metadata'!B:B),
   "Before",
   IF(
      C98 &lt;= _xlfn.XLOOKUP(O98,'Campaign Metadata'!A:A,'Campaign Metadata'!C:C),
      "During",
      "After"
   )
 )</f>
        <v>Before</v>
      </c>
      <c r="E98" s="1" t="s">
        <v>16</v>
      </c>
      <c r="F98" s="1" t="s">
        <v>37</v>
      </c>
      <c r="G98" s="5">
        <v>3878</v>
      </c>
      <c r="H98" s="5">
        <v>431</v>
      </c>
      <c r="I98" s="5">
        <v>97</v>
      </c>
      <c r="J98" s="5">
        <v>41763</v>
      </c>
      <c r="K98" s="5">
        <v>29729</v>
      </c>
      <c r="L98" s="5">
        <v>191</v>
      </c>
      <c r="M98" s="6">
        <f t="shared" si="2"/>
        <v>0.10550008380623997</v>
      </c>
      <c r="N98" s="5">
        <f t="shared" si="3"/>
        <v>4406</v>
      </c>
      <c r="O98" s="1" t="s">
        <v>23</v>
      </c>
      <c r="P98" s="27" t="s">
        <v>24</v>
      </c>
      <c r="Q98" s="27"/>
    </row>
    <row r="99" spans="1:17" ht="15.75" customHeight="1">
      <c r="A99" s="1" t="s">
        <v>136</v>
      </c>
      <c r="B99" s="1" t="s">
        <v>26</v>
      </c>
      <c r="C99" s="4">
        <v>45366</v>
      </c>
      <c r="D99" s="4" t="str">
        <f>IF(
   C99 &lt; _xlfn.XLOOKUP(O99,'Campaign Metadata'!A:A,'Campaign Metadata'!B:B),
   "Before",
   IF(
      C99 &lt;= _xlfn.XLOOKUP(O99,'Campaign Metadata'!A:A,'Campaign Metadata'!C:C),
      "During",
      "After"
   )
 )</f>
        <v>Before</v>
      </c>
      <c r="E99" s="1" t="s">
        <v>27</v>
      </c>
      <c r="F99" s="1" t="s">
        <v>39</v>
      </c>
      <c r="G99" s="5">
        <v>4969</v>
      </c>
      <c r="H99" s="5">
        <v>433</v>
      </c>
      <c r="I99" s="5">
        <v>237</v>
      </c>
      <c r="J99" s="5">
        <v>59552</v>
      </c>
      <c r="K99" s="5">
        <v>23885</v>
      </c>
      <c r="L99" s="5">
        <v>157</v>
      </c>
      <c r="M99" s="6">
        <f t="shared" si="2"/>
        <v>9.4690354648038683E-2</v>
      </c>
      <c r="N99" s="5">
        <f t="shared" si="3"/>
        <v>5639</v>
      </c>
      <c r="O99" s="1" t="s">
        <v>18</v>
      </c>
      <c r="P99" s="27" t="s">
        <v>24</v>
      </c>
      <c r="Q99" s="27" t="s">
        <v>29</v>
      </c>
    </row>
    <row r="100" spans="1:17" ht="15.75" customHeight="1">
      <c r="A100" s="1" t="s">
        <v>137</v>
      </c>
      <c r="B100" s="1" t="s">
        <v>26</v>
      </c>
      <c r="C100" s="4">
        <v>45580</v>
      </c>
      <c r="D100" s="4" t="str">
        <f>IF(
   C100 &lt; _xlfn.XLOOKUP(O100,'Campaign Metadata'!A:A,'Campaign Metadata'!B:B),
   "Before",
   IF(
      C100 &lt;= _xlfn.XLOOKUP(O100,'Campaign Metadata'!A:A,'Campaign Metadata'!C:C),
      "During",
      "After"
   )
 )</f>
        <v>Before</v>
      </c>
      <c r="E100" s="1" t="s">
        <v>16</v>
      </c>
      <c r="F100" s="1" t="s">
        <v>31</v>
      </c>
      <c r="G100" s="5">
        <v>1984</v>
      </c>
      <c r="H100" s="5">
        <v>481</v>
      </c>
      <c r="I100" s="5">
        <v>356</v>
      </c>
      <c r="J100" s="5">
        <v>40681</v>
      </c>
      <c r="K100" s="5">
        <v>63111</v>
      </c>
      <c r="L100" s="5">
        <v>258</v>
      </c>
      <c r="M100" s="6">
        <f t="shared" si="2"/>
        <v>6.934441139598338E-2</v>
      </c>
      <c r="N100" s="5">
        <f t="shared" si="3"/>
        <v>2821</v>
      </c>
      <c r="O100" s="1" t="s">
        <v>18</v>
      </c>
      <c r="P100" s="27" t="s">
        <v>20</v>
      </c>
      <c r="Q100" s="27"/>
    </row>
    <row r="101" spans="1:17" ht="15.75" customHeight="1">
      <c r="A101" s="1" t="s">
        <v>138</v>
      </c>
      <c r="B101" s="1" t="s">
        <v>15</v>
      </c>
      <c r="C101" s="4">
        <v>45494</v>
      </c>
      <c r="D101" s="4" t="str">
        <f>IF(
   C101 &lt; _xlfn.XLOOKUP(O101,'Campaign Metadata'!A:A,'Campaign Metadata'!B:B),
   "Before",
   IF(
      C101 &lt;= _xlfn.XLOOKUP(O101,'Campaign Metadata'!A:A,'Campaign Metadata'!C:C),
      "During",
      "After"
   )
 )</f>
        <v>Before</v>
      </c>
      <c r="E101" s="1" t="s">
        <v>16</v>
      </c>
      <c r="F101" s="1" t="s">
        <v>17</v>
      </c>
      <c r="G101" s="5">
        <v>3004</v>
      </c>
      <c r="H101" s="5">
        <v>415</v>
      </c>
      <c r="I101" s="5">
        <v>218</v>
      </c>
      <c r="J101" s="5">
        <v>36090</v>
      </c>
      <c r="K101" s="5">
        <v>37073</v>
      </c>
      <c r="L101" s="5">
        <v>181</v>
      </c>
      <c r="M101" s="6">
        <f t="shared" si="2"/>
        <v>0.10077583818232197</v>
      </c>
      <c r="N101" s="5">
        <f t="shared" si="3"/>
        <v>3637</v>
      </c>
      <c r="O101" s="1" t="s">
        <v>23</v>
      </c>
      <c r="P101" s="27" t="s">
        <v>24</v>
      </c>
      <c r="Q101" s="27"/>
    </row>
    <row r="102" spans="1:17" ht="15.75" customHeight="1">
      <c r="A102" s="1" t="s">
        <v>139</v>
      </c>
      <c r="B102" s="1" t="s">
        <v>26</v>
      </c>
      <c r="C102" s="4">
        <v>45577</v>
      </c>
      <c r="D102" s="4" t="str">
        <f>IF(
   C102 &lt; _xlfn.XLOOKUP(O102,'Campaign Metadata'!A:A,'Campaign Metadata'!B:B),
   "Before",
   IF(
      C102 &lt;= _xlfn.XLOOKUP(O102,'Campaign Metadata'!A:A,'Campaign Metadata'!C:C),
      "During",
      "After"
   )
 )</f>
        <v>Before</v>
      </c>
      <c r="E102" s="1" t="s">
        <v>16</v>
      </c>
      <c r="F102" s="1" t="s">
        <v>39</v>
      </c>
      <c r="G102" s="5">
        <v>3169</v>
      </c>
      <c r="H102" s="5">
        <v>386</v>
      </c>
      <c r="I102" s="5">
        <v>175</v>
      </c>
      <c r="J102" s="5">
        <v>45012</v>
      </c>
      <c r="K102" s="5">
        <v>38508</v>
      </c>
      <c r="L102" s="5">
        <v>218</v>
      </c>
      <c r="M102" s="6">
        <f t="shared" si="2"/>
        <v>8.2866791077934779E-2</v>
      </c>
      <c r="N102" s="5">
        <f t="shared" si="3"/>
        <v>3730</v>
      </c>
      <c r="O102" s="1" t="s">
        <v>18</v>
      </c>
      <c r="P102" s="27" t="s">
        <v>20</v>
      </c>
      <c r="Q102" s="27"/>
    </row>
    <row r="103" spans="1:17" ht="15.75" customHeight="1">
      <c r="A103" s="1" t="s">
        <v>140</v>
      </c>
      <c r="B103" s="1" t="s">
        <v>26</v>
      </c>
      <c r="C103" s="4">
        <v>45591</v>
      </c>
      <c r="D103" s="4" t="str">
        <f>IF(
   C103 &lt; _xlfn.XLOOKUP(O103,'Campaign Metadata'!A:A,'Campaign Metadata'!B:B),
   "Before",
   IF(
      C103 &lt;= _xlfn.XLOOKUP(O103,'Campaign Metadata'!A:A,'Campaign Metadata'!C:C),
      "During",
      "After"
   )
 )</f>
        <v>Before</v>
      </c>
      <c r="E103" s="1" t="s">
        <v>16</v>
      </c>
      <c r="F103" s="1" t="s">
        <v>17</v>
      </c>
      <c r="G103" s="5">
        <v>3036</v>
      </c>
      <c r="H103" s="5">
        <v>293</v>
      </c>
      <c r="I103" s="5">
        <v>115</v>
      </c>
      <c r="J103" s="5">
        <v>23776</v>
      </c>
      <c r="K103" s="5">
        <v>46386</v>
      </c>
      <c r="L103" s="5">
        <v>282</v>
      </c>
      <c r="M103" s="6">
        <f t="shared" si="2"/>
        <v>0.14485195154777927</v>
      </c>
      <c r="N103" s="5">
        <f t="shared" si="3"/>
        <v>3444</v>
      </c>
      <c r="O103" s="1" t="s">
        <v>18</v>
      </c>
      <c r="P103" s="27" t="s">
        <v>20</v>
      </c>
      <c r="Q103" s="27"/>
    </row>
    <row r="104" spans="1:17" ht="15.75" customHeight="1">
      <c r="A104" s="1" t="s">
        <v>141</v>
      </c>
      <c r="B104" s="1" t="s">
        <v>15</v>
      </c>
      <c r="C104" s="4">
        <v>45336</v>
      </c>
      <c r="D104" s="4" t="str">
        <f>IF(
   C104 &lt; _xlfn.XLOOKUP(O104,'Campaign Metadata'!A:A,'Campaign Metadata'!B:B),
   "Before",
   IF(
      C104 &lt;= _xlfn.XLOOKUP(O104,'Campaign Metadata'!A:A,'Campaign Metadata'!C:C),
      "During",
      "After"
   )
 )</f>
        <v>Before</v>
      </c>
      <c r="E104" s="1" t="s">
        <v>16</v>
      </c>
      <c r="F104" s="1" t="s">
        <v>34</v>
      </c>
      <c r="G104" s="5">
        <v>1830</v>
      </c>
      <c r="H104" s="5">
        <v>112</v>
      </c>
      <c r="I104" s="5">
        <v>181</v>
      </c>
      <c r="J104" s="5">
        <v>31870</v>
      </c>
      <c r="K104" s="5">
        <v>55742</v>
      </c>
      <c r="L104" s="5">
        <v>263</v>
      </c>
      <c r="M104" s="6">
        <f t="shared" si="2"/>
        <v>6.6614370881706936E-2</v>
      </c>
      <c r="N104" s="5">
        <f t="shared" si="3"/>
        <v>2123</v>
      </c>
      <c r="O104" s="1" t="s">
        <v>18</v>
      </c>
      <c r="P104" s="27" t="s">
        <v>19</v>
      </c>
      <c r="Q104" s="27" t="s">
        <v>20</v>
      </c>
    </row>
    <row r="105" spans="1:17" ht="15.75" customHeight="1">
      <c r="A105" s="1" t="s">
        <v>142</v>
      </c>
      <c r="B105" s="1" t="s">
        <v>26</v>
      </c>
      <c r="C105" s="4">
        <v>45413</v>
      </c>
      <c r="D105" s="4" t="str">
        <f>IF(
   C105 &lt; _xlfn.XLOOKUP(O105,'Campaign Metadata'!A:A,'Campaign Metadata'!B:B),
   "Before",
   IF(
      C105 &lt;= _xlfn.XLOOKUP(O105,'Campaign Metadata'!A:A,'Campaign Metadata'!C:C),
      "During",
      "After"
   )
 )</f>
        <v>Before</v>
      </c>
      <c r="E105" s="1" t="s">
        <v>27</v>
      </c>
      <c r="F105" s="1" t="s">
        <v>37</v>
      </c>
      <c r="G105" s="5">
        <v>2587</v>
      </c>
      <c r="H105" s="5">
        <v>447</v>
      </c>
      <c r="I105" s="5">
        <v>183</v>
      </c>
      <c r="J105" s="5">
        <v>36266</v>
      </c>
      <c r="K105" s="5">
        <v>32877</v>
      </c>
      <c r="L105" s="5">
        <v>132</v>
      </c>
      <c r="M105" s="6">
        <f t="shared" si="2"/>
        <v>8.8705674736667947E-2</v>
      </c>
      <c r="N105" s="5">
        <f t="shared" si="3"/>
        <v>3217</v>
      </c>
      <c r="O105" s="1" t="s">
        <v>18</v>
      </c>
      <c r="P105" s="27" t="s">
        <v>24</v>
      </c>
      <c r="Q105" s="27" t="s">
        <v>29</v>
      </c>
    </row>
    <row r="106" spans="1:17" ht="15.75" customHeight="1">
      <c r="A106" s="1" t="s">
        <v>143</v>
      </c>
      <c r="B106" s="1" t="s">
        <v>26</v>
      </c>
      <c r="C106" s="4">
        <v>45553</v>
      </c>
      <c r="D106" s="4" t="str">
        <f>IF(
   C106 &lt; _xlfn.XLOOKUP(O106,'Campaign Metadata'!A:A,'Campaign Metadata'!B:B),
   "Before",
   IF(
      C106 &lt;= _xlfn.XLOOKUP(O106,'Campaign Metadata'!A:A,'Campaign Metadata'!C:C),
      "During",
      "After"
   )
 )</f>
        <v>Before</v>
      </c>
      <c r="E106" s="1" t="s">
        <v>16</v>
      </c>
      <c r="F106" s="1" t="s">
        <v>17</v>
      </c>
      <c r="G106" s="5">
        <v>2878</v>
      </c>
      <c r="H106" s="5">
        <v>265</v>
      </c>
      <c r="I106" s="5">
        <v>91</v>
      </c>
      <c r="J106" s="5">
        <v>52090</v>
      </c>
      <c r="K106" s="5">
        <v>28924</v>
      </c>
      <c r="L106" s="5">
        <v>133</v>
      </c>
      <c r="M106" s="6">
        <f t="shared" si="2"/>
        <v>6.2084853138798232E-2</v>
      </c>
      <c r="N106" s="5">
        <f t="shared" si="3"/>
        <v>3234</v>
      </c>
      <c r="O106" s="1" t="s">
        <v>18</v>
      </c>
      <c r="P106" s="27" t="s">
        <v>20</v>
      </c>
      <c r="Q106" s="27"/>
    </row>
    <row r="107" spans="1:17" ht="15.75" customHeight="1">
      <c r="A107" s="1" t="s">
        <v>144</v>
      </c>
      <c r="B107" s="1" t="s">
        <v>26</v>
      </c>
      <c r="C107" s="4">
        <v>45677</v>
      </c>
      <c r="D107" s="4" t="str">
        <f>IF(
   C107 &lt; _xlfn.XLOOKUP(O107,'Campaign Metadata'!A:A,'Campaign Metadata'!B:B),
   "Before",
   IF(
      C107 &lt;= _xlfn.XLOOKUP(O107,'Campaign Metadata'!A:A,'Campaign Metadata'!C:C),
      "During",
      "After"
   )
 )</f>
        <v>During</v>
      </c>
      <c r="E107" s="1" t="s">
        <v>27</v>
      </c>
      <c r="F107" s="1" t="s">
        <v>28</v>
      </c>
      <c r="G107" s="5">
        <v>4619</v>
      </c>
      <c r="H107" s="5">
        <v>272</v>
      </c>
      <c r="I107" s="5">
        <v>57</v>
      </c>
      <c r="J107" s="5">
        <v>21334</v>
      </c>
      <c r="K107" s="5">
        <v>46292</v>
      </c>
      <c r="L107" s="5">
        <v>91</v>
      </c>
      <c r="M107" s="6">
        <f t="shared" si="2"/>
        <v>0.23193025217961938</v>
      </c>
      <c r="N107" s="5">
        <f t="shared" si="3"/>
        <v>4948</v>
      </c>
      <c r="O107" s="1" t="s">
        <v>18</v>
      </c>
      <c r="P107" s="27" t="s">
        <v>19</v>
      </c>
      <c r="Q107" s="27" t="s">
        <v>20</v>
      </c>
    </row>
    <row r="108" spans="1:17" ht="15.75" customHeight="1">
      <c r="A108" s="1" t="s">
        <v>145</v>
      </c>
      <c r="B108" s="1" t="s">
        <v>26</v>
      </c>
      <c r="C108" s="4">
        <v>45670</v>
      </c>
      <c r="D108" s="4" t="str">
        <f>IF(
   C108 &lt; _xlfn.XLOOKUP(O108,'Campaign Metadata'!A:A,'Campaign Metadata'!B:B),
   "Before",
   IF(
      C108 &lt;= _xlfn.XLOOKUP(O108,'Campaign Metadata'!A:A,'Campaign Metadata'!C:C),
      "During",
      "After"
   )
 )</f>
        <v>Before</v>
      </c>
      <c r="E108" s="1" t="s">
        <v>16</v>
      </c>
      <c r="F108" s="1" t="s">
        <v>34</v>
      </c>
      <c r="G108" s="5">
        <v>4090</v>
      </c>
      <c r="H108" s="5">
        <v>209</v>
      </c>
      <c r="I108" s="5">
        <v>278</v>
      </c>
      <c r="J108" s="5">
        <v>52853</v>
      </c>
      <c r="K108" s="5">
        <v>57084</v>
      </c>
      <c r="L108" s="5">
        <v>102</v>
      </c>
      <c r="M108" s="6">
        <f t="shared" si="2"/>
        <v>8.6598679355949518E-2</v>
      </c>
      <c r="N108" s="5">
        <f t="shared" si="3"/>
        <v>4577</v>
      </c>
      <c r="O108" s="1" t="s">
        <v>23</v>
      </c>
      <c r="P108" s="27" t="s">
        <v>19</v>
      </c>
      <c r="Q108" s="27"/>
    </row>
    <row r="109" spans="1:17" ht="15.75" customHeight="1">
      <c r="A109" s="1" t="s">
        <v>146</v>
      </c>
      <c r="B109" s="1" t="s">
        <v>33</v>
      </c>
      <c r="C109" s="4">
        <v>45542</v>
      </c>
      <c r="D109" s="4" t="str">
        <f>IF(
   C109 &lt; _xlfn.XLOOKUP(O109,'Campaign Metadata'!A:A,'Campaign Metadata'!B:B),
   "Before",
   IF(
      C109 &lt;= _xlfn.XLOOKUP(O109,'Campaign Metadata'!A:A,'Campaign Metadata'!C:C),
      "During",
      "After"
   )
 )</f>
        <v>After</v>
      </c>
      <c r="E109" s="1" t="s">
        <v>56</v>
      </c>
      <c r="F109" s="1" t="s">
        <v>34</v>
      </c>
      <c r="G109" s="5">
        <v>3882</v>
      </c>
      <c r="H109" s="5">
        <v>342</v>
      </c>
      <c r="I109" s="5">
        <v>374</v>
      </c>
      <c r="J109" s="5">
        <v>41991</v>
      </c>
      <c r="K109" s="5">
        <v>48554</v>
      </c>
      <c r="L109" s="5">
        <v>118</v>
      </c>
      <c r="M109" s="6">
        <f t="shared" si="2"/>
        <v>0.10949965468790931</v>
      </c>
      <c r="N109" s="5">
        <f t="shared" si="3"/>
        <v>4598</v>
      </c>
      <c r="O109" s="1" t="s">
        <v>57</v>
      </c>
      <c r="P109" s="27" t="s">
        <v>24</v>
      </c>
      <c r="Q109" s="27" t="s">
        <v>19</v>
      </c>
    </row>
    <row r="110" spans="1:17" ht="15.75" customHeight="1">
      <c r="A110" s="1" t="s">
        <v>147</v>
      </c>
      <c r="B110" s="1" t="s">
        <v>15</v>
      </c>
      <c r="C110" s="4">
        <v>45617</v>
      </c>
      <c r="D110" s="4" t="str">
        <f>IF(
   C110 &lt; _xlfn.XLOOKUP(O110,'Campaign Metadata'!A:A,'Campaign Metadata'!B:B),
   "Before",
   IF(
      C110 &lt;= _xlfn.XLOOKUP(O110,'Campaign Metadata'!A:A,'Campaign Metadata'!C:C),
      "During",
      "After"
   )
 )</f>
        <v>Before</v>
      </c>
      <c r="E110" s="1" t="s">
        <v>16</v>
      </c>
      <c r="F110" s="1" t="s">
        <v>34</v>
      </c>
      <c r="G110" s="5">
        <v>4581</v>
      </c>
      <c r="H110" s="5">
        <v>181</v>
      </c>
      <c r="I110" s="5">
        <v>112</v>
      </c>
      <c r="J110" s="5">
        <v>35221</v>
      </c>
      <c r="K110" s="5">
        <v>28797</v>
      </c>
      <c r="L110" s="5">
        <v>164</v>
      </c>
      <c r="M110" s="6">
        <f t="shared" si="2"/>
        <v>0.13838335084182732</v>
      </c>
      <c r="N110" s="5">
        <f t="shared" si="3"/>
        <v>4874</v>
      </c>
      <c r="O110" s="1" t="s">
        <v>18</v>
      </c>
      <c r="P110" s="27" t="s">
        <v>19</v>
      </c>
      <c r="Q110" s="27" t="s">
        <v>20</v>
      </c>
    </row>
    <row r="111" spans="1:17" ht="15.75" customHeight="1">
      <c r="A111" s="1" t="s">
        <v>148</v>
      </c>
      <c r="B111" s="1" t="s">
        <v>15</v>
      </c>
      <c r="C111" s="4">
        <v>45469</v>
      </c>
      <c r="D111" s="4" t="str">
        <f>IF(
   C111 &lt; _xlfn.XLOOKUP(O111,'Campaign Metadata'!A:A,'Campaign Metadata'!B:B),
   "Before",
   IF(
      C111 &lt;= _xlfn.XLOOKUP(O111,'Campaign Metadata'!A:A,'Campaign Metadata'!C:C),
      "During",
      "After"
   )
 )</f>
        <v>Before</v>
      </c>
      <c r="E111" s="1" t="s">
        <v>16</v>
      </c>
      <c r="F111" s="1" t="s">
        <v>28</v>
      </c>
      <c r="G111" s="5">
        <v>3253</v>
      </c>
      <c r="H111" s="5">
        <v>483</v>
      </c>
      <c r="I111" s="5">
        <v>336</v>
      </c>
      <c r="J111" s="5">
        <v>25397</v>
      </c>
      <c r="K111" s="5">
        <v>51485</v>
      </c>
      <c r="L111" s="5">
        <v>131</v>
      </c>
      <c r="M111" s="6">
        <f t="shared" si="2"/>
        <v>0.16033389770445328</v>
      </c>
      <c r="N111" s="5">
        <f t="shared" si="3"/>
        <v>4072</v>
      </c>
      <c r="O111" s="1" t="s">
        <v>23</v>
      </c>
      <c r="P111" s="27" t="s">
        <v>24</v>
      </c>
      <c r="Q111" s="27"/>
    </row>
    <row r="112" spans="1:17" ht="15.75" customHeight="1">
      <c r="A112" s="1" t="s">
        <v>149</v>
      </c>
      <c r="B112" s="1" t="s">
        <v>33</v>
      </c>
      <c r="C112" s="4">
        <v>45493</v>
      </c>
      <c r="D112" s="4" t="str">
        <f>IF(
   C112 &lt; _xlfn.XLOOKUP(O112,'Campaign Metadata'!A:A,'Campaign Metadata'!B:B),
   "Before",
   IF(
      C112 &lt;= _xlfn.XLOOKUP(O112,'Campaign Metadata'!A:A,'Campaign Metadata'!C:C),
      "During",
      "After"
   )
 )</f>
        <v>After</v>
      </c>
      <c r="E112" s="1" t="s">
        <v>56</v>
      </c>
      <c r="F112" s="1" t="s">
        <v>34</v>
      </c>
      <c r="G112" s="5">
        <v>4955</v>
      </c>
      <c r="H112" s="5">
        <v>299</v>
      </c>
      <c r="I112" s="5">
        <v>345</v>
      </c>
      <c r="J112" s="5">
        <v>33644</v>
      </c>
      <c r="K112" s="5">
        <v>43547</v>
      </c>
      <c r="L112" s="5">
        <v>194</v>
      </c>
      <c r="M112" s="6">
        <f t="shared" si="2"/>
        <v>0.16641897515158721</v>
      </c>
      <c r="N112" s="5">
        <f t="shared" si="3"/>
        <v>5599</v>
      </c>
      <c r="O112" s="1" t="s">
        <v>57</v>
      </c>
      <c r="P112" s="27" t="s">
        <v>24</v>
      </c>
      <c r="Q112" s="27" t="s">
        <v>19</v>
      </c>
    </row>
    <row r="113" spans="1:17" ht="15.75" customHeight="1">
      <c r="A113" s="1" t="s">
        <v>150</v>
      </c>
      <c r="B113" s="1" t="s">
        <v>15</v>
      </c>
      <c r="C113" s="4">
        <v>45704</v>
      </c>
      <c r="D113" s="4" t="str">
        <f>IF(
   C113 &lt; _xlfn.XLOOKUP(O113,'Campaign Metadata'!A:A,'Campaign Metadata'!B:B),
   "Before",
   IF(
      C113 &lt;= _xlfn.XLOOKUP(O113,'Campaign Metadata'!A:A,'Campaign Metadata'!C:C),
      "During",
      "After"
   )
 )</f>
        <v>After</v>
      </c>
      <c r="E113" s="1" t="s">
        <v>16</v>
      </c>
      <c r="F113" s="1" t="s">
        <v>50</v>
      </c>
      <c r="G113" s="5">
        <v>1333</v>
      </c>
      <c r="H113" s="5">
        <v>286</v>
      </c>
      <c r="I113" s="5">
        <v>298</v>
      </c>
      <c r="J113" s="5">
        <v>36174</v>
      </c>
      <c r="K113" s="5">
        <v>34517</v>
      </c>
      <c r="L113" s="5">
        <v>170</v>
      </c>
      <c r="M113" s="6">
        <f t="shared" si="2"/>
        <v>5.2993862995521647E-2</v>
      </c>
      <c r="N113" s="5">
        <f t="shared" si="3"/>
        <v>1917</v>
      </c>
      <c r="O113" s="1" t="s">
        <v>18</v>
      </c>
      <c r="P113" s="27" t="s">
        <v>19</v>
      </c>
      <c r="Q113" s="27" t="s">
        <v>20</v>
      </c>
    </row>
    <row r="114" spans="1:17" ht="15.75" customHeight="1">
      <c r="A114" s="1" t="s">
        <v>151</v>
      </c>
      <c r="B114" s="1" t="s">
        <v>15</v>
      </c>
      <c r="C114" s="4">
        <v>45544</v>
      </c>
      <c r="D114" s="4" t="str">
        <f>IF(
   C114 &lt; _xlfn.XLOOKUP(O114,'Campaign Metadata'!A:A,'Campaign Metadata'!B:B),
   "Before",
   IF(
      C114 &lt;= _xlfn.XLOOKUP(O114,'Campaign Metadata'!A:A,'Campaign Metadata'!C:C),
      "During",
      "After"
   )
 )</f>
        <v>Before</v>
      </c>
      <c r="E114" s="1" t="s">
        <v>16</v>
      </c>
      <c r="F114" s="1" t="s">
        <v>28</v>
      </c>
      <c r="G114" s="5">
        <v>1616</v>
      </c>
      <c r="H114" s="5">
        <v>360</v>
      </c>
      <c r="I114" s="5">
        <v>180</v>
      </c>
      <c r="J114" s="5">
        <v>54342</v>
      </c>
      <c r="K114" s="5">
        <v>18796</v>
      </c>
      <c r="L114" s="5">
        <v>282</v>
      </c>
      <c r="M114" s="6">
        <f t="shared" si="2"/>
        <v>3.9674653122814763E-2</v>
      </c>
      <c r="N114" s="5">
        <f t="shared" si="3"/>
        <v>2156</v>
      </c>
      <c r="O114" s="1" t="s">
        <v>18</v>
      </c>
      <c r="P114" s="27" t="s">
        <v>19</v>
      </c>
      <c r="Q114" s="27" t="s">
        <v>20</v>
      </c>
    </row>
    <row r="115" spans="1:17" ht="15.75" customHeight="1">
      <c r="A115" s="1" t="s">
        <v>152</v>
      </c>
      <c r="B115" s="1" t="s">
        <v>26</v>
      </c>
      <c r="C115" s="4">
        <v>45489</v>
      </c>
      <c r="D115" s="4" t="str">
        <f>IF(
   C115 &lt; _xlfn.XLOOKUP(O115,'Campaign Metadata'!A:A,'Campaign Metadata'!B:B),
   "Before",
   IF(
      C115 &lt;= _xlfn.XLOOKUP(O115,'Campaign Metadata'!A:A,'Campaign Metadata'!C:C),
      "During",
      "After"
   )
 )</f>
        <v>Before</v>
      </c>
      <c r="E115" s="1" t="s">
        <v>16</v>
      </c>
      <c r="F115" s="1" t="s">
        <v>42</v>
      </c>
      <c r="G115" s="5">
        <v>1803</v>
      </c>
      <c r="H115" s="5">
        <v>273</v>
      </c>
      <c r="I115" s="5">
        <v>287</v>
      </c>
      <c r="J115" s="5">
        <v>46176</v>
      </c>
      <c r="K115" s="5">
        <v>25488</v>
      </c>
      <c r="L115" s="5">
        <v>141</v>
      </c>
      <c r="M115" s="6">
        <f t="shared" si="2"/>
        <v>5.1173769923769923E-2</v>
      </c>
      <c r="N115" s="5">
        <f t="shared" si="3"/>
        <v>2363</v>
      </c>
      <c r="O115" s="1" t="s">
        <v>18</v>
      </c>
      <c r="P115" s="27" t="s">
        <v>20</v>
      </c>
      <c r="Q115" s="27"/>
    </row>
    <row r="116" spans="1:17" ht="15.75" customHeight="1">
      <c r="A116" s="1" t="s">
        <v>153</v>
      </c>
      <c r="B116" s="1" t="s">
        <v>15</v>
      </c>
      <c r="C116" s="4">
        <v>45762</v>
      </c>
      <c r="D116" s="4" t="str">
        <f>IF(
   C116 &lt; _xlfn.XLOOKUP(O116,'Campaign Metadata'!A:A,'Campaign Metadata'!B:B),
   "Before",
   IF(
      C116 &lt;= _xlfn.XLOOKUP(O116,'Campaign Metadata'!A:A,'Campaign Metadata'!C:C),
      "During",
      "After"
   )
 )</f>
        <v>After</v>
      </c>
      <c r="E116" s="1" t="s">
        <v>16</v>
      </c>
      <c r="F116" s="1" t="s">
        <v>22</v>
      </c>
      <c r="G116" s="5">
        <v>4177</v>
      </c>
      <c r="H116" s="5">
        <v>489</v>
      </c>
      <c r="I116" s="5">
        <v>331</v>
      </c>
      <c r="J116" s="5">
        <v>57451</v>
      </c>
      <c r="K116" s="5">
        <v>73793</v>
      </c>
      <c r="L116" s="5">
        <v>251</v>
      </c>
      <c r="M116" s="6">
        <f t="shared" si="2"/>
        <v>8.6978468608031198E-2</v>
      </c>
      <c r="N116" s="5">
        <f t="shared" si="3"/>
        <v>4997</v>
      </c>
      <c r="O116" s="1" t="s">
        <v>23</v>
      </c>
      <c r="P116" s="27" t="s">
        <v>24</v>
      </c>
      <c r="Q116" s="27"/>
    </row>
    <row r="117" spans="1:17" ht="15.75" customHeight="1">
      <c r="A117" s="1" t="s">
        <v>154</v>
      </c>
      <c r="B117" s="1" t="s">
        <v>15</v>
      </c>
      <c r="C117" s="4">
        <v>45781</v>
      </c>
      <c r="D117" s="4" t="str">
        <f>IF(
   C117 &lt; _xlfn.XLOOKUP(O117,'Campaign Metadata'!A:A,'Campaign Metadata'!B:B),
   "Before",
   IF(
      C117 &lt;= _xlfn.XLOOKUP(O117,'Campaign Metadata'!A:A,'Campaign Metadata'!C:C),
      "During",
      "After"
   )
 )</f>
        <v>After</v>
      </c>
      <c r="E117" s="1" t="s">
        <v>27</v>
      </c>
      <c r="F117" s="1" t="s">
        <v>28</v>
      </c>
      <c r="G117" s="5">
        <v>1311</v>
      </c>
      <c r="H117" s="5">
        <v>181</v>
      </c>
      <c r="I117" s="5">
        <v>361</v>
      </c>
      <c r="J117" s="5">
        <v>37148</v>
      </c>
      <c r="K117" s="5">
        <v>44875</v>
      </c>
      <c r="L117" s="5">
        <v>245</v>
      </c>
      <c r="M117" s="6">
        <f t="shared" si="2"/>
        <v>4.9881554861634543E-2</v>
      </c>
      <c r="N117" s="5">
        <f t="shared" si="3"/>
        <v>1853</v>
      </c>
      <c r="O117" s="1" t="s">
        <v>54</v>
      </c>
      <c r="P117" s="27" t="s">
        <v>20</v>
      </c>
      <c r="Q117" s="27"/>
    </row>
    <row r="118" spans="1:17" ht="15.75" customHeight="1">
      <c r="A118" s="1" t="s">
        <v>155</v>
      </c>
      <c r="B118" s="1" t="s">
        <v>15</v>
      </c>
      <c r="C118" s="4">
        <v>45340</v>
      </c>
      <c r="D118" s="4" t="str">
        <f>IF(
   C118 &lt; _xlfn.XLOOKUP(O118,'Campaign Metadata'!A:A,'Campaign Metadata'!B:B),
   "Before",
   IF(
      C118 &lt;= _xlfn.XLOOKUP(O118,'Campaign Metadata'!A:A,'Campaign Metadata'!C:C),
      "During",
      "After"
   )
 )</f>
        <v>Before</v>
      </c>
      <c r="E118" s="1" t="s">
        <v>27</v>
      </c>
      <c r="F118" s="1" t="s">
        <v>48</v>
      </c>
      <c r="G118" s="5">
        <v>1516</v>
      </c>
      <c r="H118" s="5">
        <v>215</v>
      </c>
      <c r="I118" s="5">
        <v>332</v>
      </c>
      <c r="J118" s="5">
        <v>58981</v>
      </c>
      <c r="K118" s="5">
        <v>36118</v>
      </c>
      <c r="L118" s="5">
        <v>211</v>
      </c>
      <c r="M118" s="6">
        <f t="shared" si="2"/>
        <v>3.4977365592309385E-2</v>
      </c>
      <c r="N118" s="5">
        <f t="shared" si="3"/>
        <v>2063</v>
      </c>
      <c r="O118" s="1" t="s">
        <v>54</v>
      </c>
      <c r="P118" s="27" t="s">
        <v>20</v>
      </c>
      <c r="Q118" s="27"/>
    </row>
    <row r="119" spans="1:17" ht="15.75" customHeight="1">
      <c r="A119" s="1" t="s">
        <v>156</v>
      </c>
      <c r="B119" s="1" t="s">
        <v>26</v>
      </c>
      <c r="C119" s="4">
        <v>45428</v>
      </c>
      <c r="D119" s="4" t="str">
        <f>IF(
   C119 &lt; _xlfn.XLOOKUP(O119,'Campaign Metadata'!A:A,'Campaign Metadata'!B:B),
   "Before",
   IF(
      C119 &lt;= _xlfn.XLOOKUP(O119,'Campaign Metadata'!A:A,'Campaign Metadata'!C:C),
      "During",
      "After"
   )
 )</f>
        <v>Before</v>
      </c>
      <c r="E119" s="1" t="s">
        <v>27</v>
      </c>
      <c r="F119" s="1" t="s">
        <v>34</v>
      </c>
      <c r="G119" s="5">
        <v>2023</v>
      </c>
      <c r="H119" s="5">
        <v>124</v>
      </c>
      <c r="I119" s="5">
        <v>99</v>
      </c>
      <c r="J119" s="5">
        <v>54524</v>
      </c>
      <c r="K119" s="5">
        <v>34790</v>
      </c>
      <c r="L119" s="5">
        <v>195</v>
      </c>
      <c r="M119" s="6">
        <f t="shared" si="2"/>
        <v>4.1192869195216787E-2</v>
      </c>
      <c r="N119" s="5">
        <f t="shared" si="3"/>
        <v>2246</v>
      </c>
      <c r="O119" s="1" t="s">
        <v>18</v>
      </c>
      <c r="P119" s="27" t="s">
        <v>24</v>
      </c>
      <c r="Q119" s="27" t="s">
        <v>29</v>
      </c>
    </row>
    <row r="120" spans="1:17" ht="15.75" customHeight="1">
      <c r="A120" s="1" t="s">
        <v>157</v>
      </c>
      <c r="B120" s="1" t="s">
        <v>26</v>
      </c>
      <c r="C120" s="4">
        <v>45806</v>
      </c>
      <c r="D120" s="4" t="str">
        <f>IF(
   C120 &lt; _xlfn.XLOOKUP(O120,'Campaign Metadata'!A:A,'Campaign Metadata'!B:B),
   "Before",
   IF(
      C120 &lt;= _xlfn.XLOOKUP(O120,'Campaign Metadata'!A:A,'Campaign Metadata'!C:C),
      "During",
      "After"
   )
 )</f>
        <v>After</v>
      </c>
      <c r="E120" s="1" t="s">
        <v>27</v>
      </c>
      <c r="F120" s="1" t="s">
        <v>34</v>
      </c>
      <c r="G120" s="5">
        <v>2134</v>
      </c>
      <c r="H120" s="5">
        <v>322</v>
      </c>
      <c r="I120" s="5">
        <v>114</v>
      </c>
      <c r="J120" s="5">
        <v>44338</v>
      </c>
      <c r="K120" s="5">
        <v>52165</v>
      </c>
      <c r="L120" s="5">
        <v>176</v>
      </c>
      <c r="M120" s="6">
        <f t="shared" si="2"/>
        <v>5.7963823356939871E-2</v>
      </c>
      <c r="N120" s="5">
        <f t="shared" si="3"/>
        <v>2570</v>
      </c>
      <c r="O120" s="1" t="s">
        <v>18</v>
      </c>
      <c r="P120" s="27" t="s">
        <v>29</v>
      </c>
      <c r="Q120" s="27" t="s">
        <v>20</v>
      </c>
    </row>
    <row r="121" spans="1:17" ht="15.75" customHeight="1">
      <c r="A121" s="1" t="s">
        <v>158</v>
      </c>
      <c r="B121" s="1" t="s">
        <v>15</v>
      </c>
      <c r="C121" s="4">
        <v>45674</v>
      </c>
      <c r="D121" s="4" t="str">
        <f>IF(
   C121 &lt; _xlfn.XLOOKUP(O121,'Campaign Metadata'!A:A,'Campaign Metadata'!B:B),
   "Before",
   IF(
      C121 &lt;= _xlfn.XLOOKUP(O121,'Campaign Metadata'!A:A,'Campaign Metadata'!C:C),
      "During",
      "After"
   )
 )</f>
        <v>Before</v>
      </c>
      <c r="E121" s="1" t="s">
        <v>16</v>
      </c>
      <c r="F121" s="1" t="s">
        <v>42</v>
      </c>
      <c r="G121" s="5">
        <v>2266</v>
      </c>
      <c r="H121" s="5">
        <v>126</v>
      </c>
      <c r="I121" s="5">
        <v>140</v>
      </c>
      <c r="J121" s="5">
        <v>53759</v>
      </c>
      <c r="K121" s="5">
        <v>46834</v>
      </c>
      <c r="L121" s="5">
        <v>277</v>
      </c>
      <c r="M121" s="6">
        <f t="shared" si="2"/>
        <v>4.7099090384865788E-2</v>
      </c>
      <c r="N121" s="5">
        <f t="shared" si="3"/>
        <v>2532</v>
      </c>
      <c r="O121" s="1" t="s">
        <v>23</v>
      </c>
      <c r="P121" s="27" t="s">
        <v>24</v>
      </c>
      <c r="Q121" s="27"/>
    </row>
    <row r="122" spans="1:17" ht="15.75" customHeight="1">
      <c r="A122" s="1" t="s">
        <v>159</v>
      </c>
      <c r="B122" s="1" t="s">
        <v>15</v>
      </c>
      <c r="C122" s="4">
        <v>45777</v>
      </c>
      <c r="D122" s="4" t="str">
        <f>IF(
   C122 &lt; _xlfn.XLOOKUP(O122,'Campaign Metadata'!A:A,'Campaign Metadata'!B:B),
   "Before",
   IF(
      C122 &lt;= _xlfn.XLOOKUP(O122,'Campaign Metadata'!A:A,'Campaign Metadata'!C:C),
      "During",
      "After"
   )
 )</f>
        <v>After</v>
      </c>
      <c r="E122" s="1" t="s">
        <v>27</v>
      </c>
      <c r="F122" s="1" t="s">
        <v>28</v>
      </c>
      <c r="G122" s="5">
        <v>3916</v>
      </c>
      <c r="H122" s="5">
        <v>459</v>
      </c>
      <c r="I122" s="5">
        <v>229</v>
      </c>
      <c r="J122" s="5">
        <v>48989</v>
      </c>
      <c r="K122" s="5">
        <v>39768</v>
      </c>
      <c r="L122" s="5">
        <v>200</v>
      </c>
      <c r="M122" s="6">
        <f t="shared" si="2"/>
        <v>9.3980281287635997E-2</v>
      </c>
      <c r="N122" s="5">
        <f t="shared" si="3"/>
        <v>4604</v>
      </c>
      <c r="O122" s="1" t="s">
        <v>54</v>
      </c>
      <c r="P122" s="27" t="s">
        <v>20</v>
      </c>
      <c r="Q122" s="27"/>
    </row>
    <row r="123" spans="1:17" ht="15.75" customHeight="1">
      <c r="A123" s="1" t="s">
        <v>160</v>
      </c>
      <c r="B123" s="1" t="s">
        <v>26</v>
      </c>
      <c r="C123" s="4">
        <v>45346</v>
      </c>
      <c r="D123" s="4" t="str">
        <f>IF(
   C123 &lt; _xlfn.XLOOKUP(O123,'Campaign Metadata'!A:A,'Campaign Metadata'!B:B),
   "Before",
   IF(
      C123 &lt;= _xlfn.XLOOKUP(O123,'Campaign Metadata'!A:A,'Campaign Metadata'!C:C),
      "During",
      "After"
   )
 )</f>
        <v>Before</v>
      </c>
      <c r="E123" s="1" t="s">
        <v>27</v>
      </c>
      <c r="F123" s="1" t="s">
        <v>34</v>
      </c>
      <c r="G123" s="5">
        <v>1022</v>
      </c>
      <c r="H123" s="5">
        <v>463</v>
      </c>
      <c r="I123" s="5">
        <v>360</v>
      </c>
      <c r="J123" s="5">
        <v>51468</v>
      </c>
      <c r="K123" s="5">
        <v>24279</v>
      </c>
      <c r="L123" s="5">
        <v>230</v>
      </c>
      <c r="M123" s="6">
        <f t="shared" si="2"/>
        <v>3.5847516903707161E-2</v>
      </c>
      <c r="N123" s="5">
        <f t="shared" si="3"/>
        <v>1845</v>
      </c>
      <c r="O123" s="1" t="s">
        <v>18</v>
      </c>
      <c r="P123" s="27" t="s">
        <v>24</v>
      </c>
      <c r="Q123" s="27" t="s">
        <v>29</v>
      </c>
    </row>
    <row r="124" spans="1:17" ht="15.75" customHeight="1">
      <c r="A124" s="1" t="s">
        <v>161</v>
      </c>
      <c r="B124" s="1" t="s">
        <v>33</v>
      </c>
      <c r="C124" s="4">
        <v>45424</v>
      </c>
      <c r="D124" s="4" t="str">
        <f>IF(
   C124 &lt; _xlfn.XLOOKUP(O124,'Campaign Metadata'!A:A,'Campaign Metadata'!B:B),
   "Before",
   IF(
      C124 &lt;= _xlfn.XLOOKUP(O124,'Campaign Metadata'!A:A,'Campaign Metadata'!C:C),
      "During",
      "After"
   )
 )</f>
        <v>Before</v>
      </c>
      <c r="E124" s="1" t="s">
        <v>16</v>
      </c>
      <c r="F124" s="1" t="s">
        <v>48</v>
      </c>
      <c r="G124" s="5">
        <v>2911</v>
      </c>
      <c r="H124" s="5">
        <v>467</v>
      </c>
      <c r="I124" s="5">
        <v>94</v>
      </c>
      <c r="J124" s="5">
        <v>59083</v>
      </c>
      <c r="K124" s="5">
        <v>49762</v>
      </c>
      <c r="L124" s="5">
        <v>236</v>
      </c>
      <c r="M124" s="6">
        <f t="shared" si="2"/>
        <v>5.8764788517847777E-2</v>
      </c>
      <c r="N124" s="5">
        <f t="shared" si="3"/>
        <v>3472</v>
      </c>
      <c r="O124" s="1" t="s">
        <v>23</v>
      </c>
      <c r="P124" s="27" t="s">
        <v>24</v>
      </c>
      <c r="Q124" s="27" t="s">
        <v>35</v>
      </c>
    </row>
    <row r="125" spans="1:17" ht="15.75" customHeight="1">
      <c r="A125" s="1" t="s">
        <v>162</v>
      </c>
      <c r="B125" s="1" t="s">
        <v>26</v>
      </c>
      <c r="C125" s="4">
        <v>45421</v>
      </c>
      <c r="D125" s="4" t="str">
        <f>IF(
   C125 &lt; _xlfn.XLOOKUP(O125,'Campaign Metadata'!A:A,'Campaign Metadata'!B:B),
   "Before",
   IF(
      C125 &lt;= _xlfn.XLOOKUP(O125,'Campaign Metadata'!A:A,'Campaign Metadata'!C:C),
      "During",
      "After"
   )
 )</f>
        <v>Before</v>
      </c>
      <c r="E125" s="1" t="s">
        <v>27</v>
      </c>
      <c r="F125" s="1" t="s">
        <v>28</v>
      </c>
      <c r="G125" s="5">
        <v>3277</v>
      </c>
      <c r="H125" s="5">
        <v>423</v>
      </c>
      <c r="I125" s="5">
        <v>259</v>
      </c>
      <c r="J125" s="5">
        <v>46328</v>
      </c>
      <c r="K125" s="5">
        <v>44293</v>
      </c>
      <c r="L125" s="5">
        <v>299</v>
      </c>
      <c r="M125" s="6">
        <f t="shared" si="2"/>
        <v>8.5455879813503707E-2</v>
      </c>
      <c r="N125" s="5">
        <f t="shared" si="3"/>
        <v>3959</v>
      </c>
      <c r="O125" s="1" t="s">
        <v>18</v>
      </c>
      <c r="P125" s="27" t="s">
        <v>19</v>
      </c>
      <c r="Q125" s="27" t="s">
        <v>20</v>
      </c>
    </row>
    <row r="126" spans="1:17" ht="15.75" customHeight="1">
      <c r="A126" s="1" t="s">
        <v>163</v>
      </c>
      <c r="B126" s="1" t="s">
        <v>26</v>
      </c>
      <c r="C126" s="4">
        <v>45602</v>
      </c>
      <c r="D126" s="4" t="str">
        <f>IF(
   C126 &lt; _xlfn.XLOOKUP(O126,'Campaign Metadata'!A:A,'Campaign Metadata'!B:B),
   "Before",
   IF(
      C126 &lt;= _xlfn.XLOOKUP(O126,'Campaign Metadata'!A:A,'Campaign Metadata'!C:C),
      "During",
      "After"
   )
 )</f>
        <v>Before</v>
      </c>
      <c r="E126" s="1" t="s">
        <v>16</v>
      </c>
      <c r="F126" s="1" t="s">
        <v>48</v>
      </c>
      <c r="G126" s="5">
        <v>2956</v>
      </c>
      <c r="H126" s="5">
        <v>381</v>
      </c>
      <c r="I126" s="5">
        <v>345</v>
      </c>
      <c r="J126" s="5">
        <v>33347</v>
      </c>
      <c r="K126" s="5">
        <v>22558</v>
      </c>
      <c r="L126" s="5">
        <v>173</v>
      </c>
      <c r="M126" s="6">
        <f t="shared" si="2"/>
        <v>0.11041472996071611</v>
      </c>
      <c r="N126" s="5">
        <f t="shared" si="3"/>
        <v>3682</v>
      </c>
      <c r="O126" s="1" t="s">
        <v>18</v>
      </c>
      <c r="P126" s="27" t="s">
        <v>20</v>
      </c>
      <c r="Q126" s="27"/>
    </row>
    <row r="127" spans="1:17" ht="15.75" customHeight="1">
      <c r="A127" s="1" t="s">
        <v>164</v>
      </c>
      <c r="B127" s="1" t="s">
        <v>26</v>
      </c>
      <c r="C127" s="4">
        <v>45295</v>
      </c>
      <c r="D127" s="4" t="str">
        <f>IF(
   C127 &lt; _xlfn.XLOOKUP(O127,'Campaign Metadata'!A:A,'Campaign Metadata'!B:B),
   "Before",
   IF(
      C127 &lt;= _xlfn.XLOOKUP(O127,'Campaign Metadata'!A:A,'Campaign Metadata'!C:C),
      "During",
      "After"
   )
 )</f>
        <v>Before</v>
      </c>
      <c r="E127" s="1" t="s">
        <v>27</v>
      </c>
      <c r="F127" s="1" t="s">
        <v>37</v>
      </c>
      <c r="G127" s="5">
        <v>3208</v>
      </c>
      <c r="H127" s="5">
        <v>476</v>
      </c>
      <c r="I127" s="5">
        <v>277</v>
      </c>
      <c r="J127" s="5">
        <v>56072</v>
      </c>
      <c r="K127" s="5">
        <v>21061</v>
      </c>
      <c r="L127" s="5">
        <v>113</v>
      </c>
      <c r="M127" s="6">
        <f t="shared" si="2"/>
        <v>7.064131830503638E-2</v>
      </c>
      <c r="N127" s="5">
        <f t="shared" si="3"/>
        <v>3961</v>
      </c>
      <c r="O127" s="1" t="s">
        <v>18</v>
      </c>
      <c r="P127" s="27" t="s">
        <v>29</v>
      </c>
      <c r="Q127" s="27" t="s">
        <v>20</v>
      </c>
    </row>
    <row r="128" spans="1:17" ht="15.75" customHeight="1">
      <c r="A128" s="1" t="s">
        <v>165</v>
      </c>
      <c r="B128" s="1" t="s">
        <v>26</v>
      </c>
      <c r="C128" s="4">
        <v>45319</v>
      </c>
      <c r="D128" s="4" t="str">
        <f>IF(
   C128 &lt; _xlfn.XLOOKUP(O128,'Campaign Metadata'!A:A,'Campaign Metadata'!B:B),
   "Before",
   IF(
      C128 &lt;= _xlfn.XLOOKUP(O128,'Campaign Metadata'!A:A,'Campaign Metadata'!C:C),
      "During",
      "After"
   )
 )</f>
        <v>Before</v>
      </c>
      <c r="E128" s="1" t="s">
        <v>16</v>
      </c>
      <c r="F128" s="1" t="s">
        <v>34</v>
      </c>
      <c r="G128" s="5">
        <v>1456</v>
      </c>
      <c r="H128" s="5">
        <v>265</v>
      </c>
      <c r="I128" s="5">
        <v>137</v>
      </c>
      <c r="J128" s="5">
        <v>53485</v>
      </c>
      <c r="K128" s="5">
        <v>59729</v>
      </c>
      <c r="L128" s="5">
        <v>145</v>
      </c>
      <c r="M128" s="6">
        <f t="shared" si="2"/>
        <v>3.4738711788351875E-2</v>
      </c>
      <c r="N128" s="5">
        <f t="shared" si="3"/>
        <v>1858</v>
      </c>
      <c r="O128" s="1" t="s">
        <v>23</v>
      </c>
      <c r="P128" s="27" t="s">
        <v>19</v>
      </c>
      <c r="Q128" s="27"/>
    </row>
    <row r="129" spans="1:17" ht="15.75" customHeight="1">
      <c r="A129" s="1" t="s">
        <v>166</v>
      </c>
      <c r="B129" s="1" t="s">
        <v>15</v>
      </c>
      <c r="C129" s="4">
        <v>45344</v>
      </c>
      <c r="D129" s="4" t="str">
        <f>IF(
   C129 &lt; _xlfn.XLOOKUP(O129,'Campaign Metadata'!A:A,'Campaign Metadata'!B:B),
   "Before",
   IF(
      C129 &lt;= _xlfn.XLOOKUP(O129,'Campaign Metadata'!A:A,'Campaign Metadata'!C:C),
      "During",
      "After"
   )
 )</f>
        <v>Before</v>
      </c>
      <c r="E129" s="1" t="s">
        <v>16</v>
      </c>
      <c r="F129" s="1" t="s">
        <v>28</v>
      </c>
      <c r="G129" s="5">
        <v>1902</v>
      </c>
      <c r="H129" s="5">
        <v>394</v>
      </c>
      <c r="I129" s="5">
        <v>279</v>
      </c>
      <c r="J129" s="5">
        <v>24615</v>
      </c>
      <c r="K129" s="5">
        <v>51330</v>
      </c>
      <c r="L129" s="5">
        <v>176</v>
      </c>
      <c r="M129" s="6">
        <f t="shared" si="2"/>
        <v>0.10461100954702417</v>
      </c>
      <c r="N129" s="5">
        <f t="shared" si="3"/>
        <v>2575</v>
      </c>
      <c r="O129" s="1" t="s">
        <v>18</v>
      </c>
      <c r="P129" s="27" t="s">
        <v>19</v>
      </c>
      <c r="Q129" s="27" t="s">
        <v>20</v>
      </c>
    </row>
    <row r="130" spans="1:17" ht="15.75" customHeight="1">
      <c r="A130" s="1" t="s">
        <v>167</v>
      </c>
      <c r="B130" s="1" t="s">
        <v>26</v>
      </c>
      <c r="C130" s="4">
        <v>45839</v>
      </c>
      <c r="D130" s="4" t="str">
        <f>IF(
   C130 &lt; _xlfn.XLOOKUP(O130,'Campaign Metadata'!A:A,'Campaign Metadata'!B:B),
   "Before",
   IF(
      C130 &lt;= _xlfn.XLOOKUP(O130,'Campaign Metadata'!A:A,'Campaign Metadata'!C:C),
      "During",
      "After"
   )
 )</f>
        <v>After</v>
      </c>
      <c r="E130" s="1" t="s">
        <v>27</v>
      </c>
      <c r="F130" s="1" t="s">
        <v>22</v>
      </c>
      <c r="G130" s="5">
        <v>3219</v>
      </c>
      <c r="H130" s="5">
        <v>424</v>
      </c>
      <c r="I130" s="5">
        <v>267</v>
      </c>
      <c r="J130" s="5">
        <v>48879</v>
      </c>
      <c r="K130" s="5">
        <v>37691</v>
      </c>
      <c r="L130" s="5">
        <v>224</v>
      </c>
      <c r="M130" s="6">
        <f t="shared" si="2"/>
        <v>7.9993453221219743E-2</v>
      </c>
      <c r="N130" s="5">
        <f t="shared" si="3"/>
        <v>3910</v>
      </c>
      <c r="O130" s="1" t="s">
        <v>18</v>
      </c>
      <c r="P130" s="27" t="s">
        <v>24</v>
      </c>
      <c r="Q130" s="27" t="s">
        <v>29</v>
      </c>
    </row>
    <row r="131" spans="1:17" ht="15.75" customHeight="1">
      <c r="A131" s="1" t="s">
        <v>168</v>
      </c>
      <c r="B131" s="1" t="s">
        <v>33</v>
      </c>
      <c r="C131" s="4">
        <v>45301</v>
      </c>
      <c r="D131" s="4" t="str">
        <f>IF(
   C131 &lt; _xlfn.XLOOKUP(O131,'Campaign Metadata'!A:A,'Campaign Metadata'!B:B),
   "Before",
   IF(
      C131 &lt;= _xlfn.XLOOKUP(O131,'Campaign Metadata'!A:A,'Campaign Metadata'!C:C),
      "During",
      "After"
   )
 )</f>
        <v>Before</v>
      </c>
      <c r="E131" s="1" t="s">
        <v>16</v>
      </c>
      <c r="F131" s="1" t="s">
        <v>22</v>
      </c>
      <c r="G131" s="5">
        <v>1261</v>
      </c>
      <c r="H131" s="5">
        <v>190</v>
      </c>
      <c r="I131" s="5">
        <v>233</v>
      </c>
      <c r="J131" s="5">
        <v>59888</v>
      </c>
      <c r="K131" s="5">
        <v>51449</v>
      </c>
      <c r="L131" s="5">
        <v>205</v>
      </c>
      <c r="M131" s="6">
        <f t="shared" ref="M131:M194" si="4" xml:space="preserve"> (G131 +I131 +H131) / J131</f>
        <v>2.811915575741384E-2</v>
      </c>
      <c r="N131" s="5">
        <f t="shared" ref="N131:N194" si="5" xml:space="preserve"> G131+H131+I131</f>
        <v>1684</v>
      </c>
      <c r="O131" s="1" t="s">
        <v>23</v>
      </c>
      <c r="P131" s="27" t="s">
        <v>24</v>
      </c>
      <c r="Q131" s="27" t="s">
        <v>35</v>
      </c>
    </row>
    <row r="132" spans="1:17" ht="15.75" customHeight="1">
      <c r="A132" s="1" t="s">
        <v>169</v>
      </c>
      <c r="B132" s="1" t="s">
        <v>26</v>
      </c>
      <c r="C132" s="4">
        <v>45736</v>
      </c>
      <c r="D132" s="4" t="str">
        <f>IF(
   C132 &lt; _xlfn.XLOOKUP(O132,'Campaign Metadata'!A:A,'Campaign Metadata'!B:B),
   "Before",
   IF(
      C132 &lt;= _xlfn.XLOOKUP(O132,'Campaign Metadata'!A:A,'Campaign Metadata'!C:C),
      "During",
      "After"
   )
 )</f>
        <v>During</v>
      </c>
      <c r="E132" s="1" t="s">
        <v>16</v>
      </c>
      <c r="F132" s="1" t="s">
        <v>50</v>
      </c>
      <c r="G132" s="5">
        <v>1564</v>
      </c>
      <c r="H132" s="5">
        <v>362</v>
      </c>
      <c r="I132" s="5">
        <v>371</v>
      </c>
      <c r="J132" s="5">
        <v>42075</v>
      </c>
      <c r="K132" s="5">
        <v>66659</v>
      </c>
      <c r="L132" s="5">
        <v>205</v>
      </c>
      <c r="M132" s="6">
        <f t="shared" si="4"/>
        <v>5.4592988710635768E-2</v>
      </c>
      <c r="N132" s="5">
        <f t="shared" si="5"/>
        <v>2297</v>
      </c>
      <c r="O132" s="1" t="s">
        <v>23</v>
      </c>
      <c r="P132" s="27" t="s">
        <v>19</v>
      </c>
      <c r="Q132" s="27"/>
    </row>
    <row r="133" spans="1:17" ht="15.75" customHeight="1">
      <c r="A133" s="1" t="s">
        <v>170</v>
      </c>
      <c r="B133" s="1" t="s">
        <v>26</v>
      </c>
      <c r="C133" s="4">
        <v>45563</v>
      </c>
      <c r="D133" s="4" t="str">
        <f>IF(
   C133 &lt; _xlfn.XLOOKUP(O133,'Campaign Metadata'!A:A,'Campaign Metadata'!B:B),
   "Before",
   IF(
      C133 &lt;= _xlfn.XLOOKUP(O133,'Campaign Metadata'!A:A,'Campaign Metadata'!C:C),
      "During",
      "After"
   )
 )</f>
        <v>Before</v>
      </c>
      <c r="E133" s="1" t="s">
        <v>16</v>
      </c>
      <c r="F133" s="1" t="s">
        <v>37</v>
      </c>
      <c r="G133" s="5">
        <v>4006</v>
      </c>
      <c r="H133" s="5">
        <v>420</v>
      </c>
      <c r="I133" s="5">
        <v>194</v>
      </c>
      <c r="J133" s="5">
        <v>49964</v>
      </c>
      <c r="K133" s="5">
        <v>20685</v>
      </c>
      <c r="L133" s="5">
        <v>148</v>
      </c>
      <c r="M133" s="6">
        <f t="shared" si="4"/>
        <v>9.2466575934672959E-2</v>
      </c>
      <c r="N133" s="5">
        <f t="shared" si="5"/>
        <v>4620</v>
      </c>
      <c r="O133" s="1" t="s">
        <v>18</v>
      </c>
      <c r="P133" s="27" t="s">
        <v>20</v>
      </c>
      <c r="Q133" s="27"/>
    </row>
    <row r="134" spans="1:17" ht="15.75" customHeight="1">
      <c r="A134" s="1" t="s">
        <v>171</v>
      </c>
      <c r="B134" s="1" t="s">
        <v>33</v>
      </c>
      <c r="C134" s="4">
        <v>45318</v>
      </c>
      <c r="D134" s="4" t="str">
        <f>IF(
   C134 &lt; _xlfn.XLOOKUP(O134,'Campaign Metadata'!A:A,'Campaign Metadata'!B:B),
   "Before",
   IF(
      C134 &lt;= _xlfn.XLOOKUP(O134,'Campaign Metadata'!A:A,'Campaign Metadata'!C:C),
      "During",
      "After"
   )
 )</f>
        <v>Before</v>
      </c>
      <c r="E134" s="1" t="s">
        <v>16</v>
      </c>
      <c r="F134" s="1" t="s">
        <v>50</v>
      </c>
      <c r="G134" s="5">
        <v>1976</v>
      </c>
      <c r="H134" s="5">
        <v>262</v>
      </c>
      <c r="I134" s="5">
        <v>218</v>
      </c>
      <c r="J134" s="5">
        <v>51696</v>
      </c>
      <c r="K134" s="5">
        <v>44846</v>
      </c>
      <c r="L134" s="5">
        <v>139</v>
      </c>
      <c r="M134" s="6">
        <f t="shared" si="4"/>
        <v>4.7508511296812134E-2</v>
      </c>
      <c r="N134" s="5">
        <f t="shared" si="5"/>
        <v>2456</v>
      </c>
      <c r="O134" s="1" t="s">
        <v>23</v>
      </c>
      <c r="P134" s="27" t="s">
        <v>24</v>
      </c>
      <c r="Q134" s="27" t="s">
        <v>35</v>
      </c>
    </row>
    <row r="135" spans="1:17" ht="15.75" customHeight="1">
      <c r="A135" s="1" t="s">
        <v>172</v>
      </c>
      <c r="B135" s="1" t="s">
        <v>26</v>
      </c>
      <c r="C135" s="4">
        <v>45792</v>
      </c>
      <c r="D135" s="4" t="str">
        <f>IF(
   C135 &lt; _xlfn.XLOOKUP(O135,'Campaign Metadata'!A:A,'Campaign Metadata'!B:B),
   "Before",
   IF(
      C135 &lt;= _xlfn.XLOOKUP(O135,'Campaign Metadata'!A:A,'Campaign Metadata'!C:C),
      "During",
      "After"
   )
 )</f>
        <v>After</v>
      </c>
      <c r="E135" s="1" t="s">
        <v>16</v>
      </c>
      <c r="F135" s="1" t="s">
        <v>28</v>
      </c>
      <c r="G135" s="5">
        <v>1583</v>
      </c>
      <c r="H135" s="5">
        <v>433</v>
      </c>
      <c r="I135" s="5">
        <v>249</v>
      </c>
      <c r="J135" s="5">
        <v>30256</v>
      </c>
      <c r="K135" s="5">
        <v>47066</v>
      </c>
      <c r="L135" s="5">
        <v>196</v>
      </c>
      <c r="M135" s="6">
        <f t="shared" si="4"/>
        <v>7.4861184558434685E-2</v>
      </c>
      <c r="N135" s="5">
        <f t="shared" si="5"/>
        <v>2265</v>
      </c>
      <c r="O135" s="1" t="s">
        <v>18</v>
      </c>
      <c r="P135" s="27" t="s">
        <v>20</v>
      </c>
      <c r="Q135" s="27"/>
    </row>
    <row r="136" spans="1:17" ht="15.75" customHeight="1">
      <c r="A136" s="1" t="s">
        <v>173</v>
      </c>
      <c r="B136" s="1" t="s">
        <v>26</v>
      </c>
      <c r="C136" s="4">
        <v>45569</v>
      </c>
      <c r="D136" s="4" t="str">
        <f>IF(
   C136 &lt; _xlfn.XLOOKUP(O136,'Campaign Metadata'!A:A,'Campaign Metadata'!B:B),
   "Before",
   IF(
      C136 &lt;= _xlfn.XLOOKUP(O136,'Campaign Metadata'!A:A,'Campaign Metadata'!C:C),
      "During",
      "After"
   )
 )</f>
        <v>Before</v>
      </c>
      <c r="E136" s="1" t="s">
        <v>27</v>
      </c>
      <c r="F136" s="1" t="s">
        <v>22</v>
      </c>
      <c r="G136" s="5">
        <v>2870</v>
      </c>
      <c r="H136" s="5">
        <v>380</v>
      </c>
      <c r="I136" s="5">
        <v>393</v>
      </c>
      <c r="J136" s="5">
        <v>37621</v>
      </c>
      <c r="K136" s="5">
        <v>71794</v>
      </c>
      <c r="L136" s="5">
        <v>127</v>
      </c>
      <c r="M136" s="6">
        <f t="shared" si="4"/>
        <v>9.6834214933149046E-2</v>
      </c>
      <c r="N136" s="5">
        <f t="shared" si="5"/>
        <v>3643</v>
      </c>
      <c r="O136" s="1" t="s">
        <v>18</v>
      </c>
      <c r="P136" s="27" t="s">
        <v>29</v>
      </c>
      <c r="Q136" s="27" t="s">
        <v>20</v>
      </c>
    </row>
    <row r="137" spans="1:17" ht="15.75" customHeight="1">
      <c r="A137" s="1" t="s">
        <v>174</v>
      </c>
      <c r="B137" s="1" t="s">
        <v>26</v>
      </c>
      <c r="C137" s="4">
        <v>45615</v>
      </c>
      <c r="D137" s="4" t="str">
        <f>IF(
   C137 &lt; _xlfn.XLOOKUP(O137,'Campaign Metadata'!A:A,'Campaign Metadata'!B:B),
   "Before",
   IF(
      C137 &lt;= _xlfn.XLOOKUP(O137,'Campaign Metadata'!A:A,'Campaign Metadata'!C:C),
      "During",
      "After"
   )
 )</f>
        <v>Before</v>
      </c>
      <c r="E137" s="1" t="s">
        <v>16</v>
      </c>
      <c r="F137" s="1" t="s">
        <v>42</v>
      </c>
      <c r="G137" s="5">
        <v>3728</v>
      </c>
      <c r="H137" s="5">
        <v>271</v>
      </c>
      <c r="I137" s="5">
        <v>275</v>
      </c>
      <c r="J137" s="5">
        <v>22827</v>
      </c>
      <c r="K137" s="5">
        <v>37034</v>
      </c>
      <c r="L137" s="5">
        <v>199</v>
      </c>
      <c r="M137" s="6">
        <f t="shared" si="4"/>
        <v>0.18723441538528934</v>
      </c>
      <c r="N137" s="5">
        <f t="shared" si="5"/>
        <v>4274</v>
      </c>
      <c r="O137" s="1" t="s">
        <v>18</v>
      </c>
      <c r="P137" s="27" t="s">
        <v>20</v>
      </c>
      <c r="Q137" s="27"/>
    </row>
    <row r="138" spans="1:17" ht="15.75" customHeight="1">
      <c r="A138" s="1" t="s">
        <v>175</v>
      </c>
      <c r="B138" s="1" t="s">
        <v>26</v>
      </c>
      <c r="C138" s="4">
        <v>45387</v>
      </c>
      <c r="D138" s="4" t="str">
        <f>IF(
   C138 &lt; _xlfn.XLOOKUP(O138,'Campaign Metadata'!A:A,'Campaign Metadata'!B:B),
   "Before",
   IF(
      C138 &lt;= _xlfn.XLOOKUP(O138,'Campaign Metadata'!A:A,'Campaign Metadata'!C:C),
      "During",
      "After"
   )
 )</f>
        <v>Before</v>
      </c>
      <c r="E138" s="1" t="s">
        <v>27</v>
      </c>
      <c r="F138" s="1" t="s">
        <v>28</v>
      </c>
      <c r="G138" s="5">
        <v>4965</v>
      </c>
      <c r="H138" s="5">
        <v>175</v>
      </c>
      <c r="I138" s="5">
        <v>307</v>
      </c>
      <c r="J138" s="5">
        <v>32793</v>
      </c>
      <c r="K138" s="5">
        <v>43412</v>
      </c>
      <c r="L138" s="5">
        <v>296</v>
      </c>
      <c r="M138" s="6">
        <f t="shared" si="4"/>
        <v>0.16610252187966945</v>
      </c>
      <c r="N138" s="5">
        <f t="shared" si="5"/>
        <v>5447</v>
      </c>
      <c r="O138" s="1" t="s">
        <v>18</v>
      </c>
      <c r="P138" s="27" t="s">
        <v>19</v>
      </c>
      <c r="Q138" s="27" t="s">
        <v>20</v>
      </c>
    </row>
    <row r="139" spans="1:17" ht="15.75" customHeight="1">
      <c r="A139" s="1" t="s">
        <v>176</v>
      </c>
      <c r="B139" s="1" t="s">
        <v>26</v>
      </c>
      <c r="C139" s="4">
        <v>45624</v>
      </c>
      <c r="D139" s="4" t="str">
        <f>IF(
   C139 &lt; _xlfn.XLOOKUP(O139,'Campaign Metadata'!A:A,'Campaign Metadata'!B:B),
   "Before",
   IF(
      C139 &lt;= _xlfn.XLOOKUP(O139,'Campaign Metadata'!A:A,'Campaign Metadata'!C:C),
      "During",
      "After"
   )
 )</f>
        <v>Before</v>
      </c>
      <c r="E139" s="1" t="s">
        <v>27</v>
      </c>
      <c r="F139" s="1" t="s">
        <v>28</v>
      </c>
      <c r="G139" s="5">
        <v>1131</v>
      </c>
      <c r="H139" s="5">
        <v>100</v>
      </c>
      <c r="I139" s="5">
        <v>116</v>
      </c>
      <c r="J139" s="5">
        <v>48437</v>
      </c>
      <c r="K139" s="5">
        <v>72704</v>
      </c>
      <c r="L139" s="5">
        <v>236</v>
      </c>
      <c r="M139" s="6">
        <f t="shared" si="4"/>
        <v>2.7809319322005904E-2</v>
      </c>
      <c r="N139" s="5">
        <f t="shared" si="5"/>
        <v>1347</v>
      </c>
      <c r="O139" s="1" t="s">
        <v>18</v>
      </c>
      <c r="P139" s="27" t="s">
        <v>24</v>
      </c>
      <c r="Q139" s="27" t="s">
        <v>29</v>
      </c>
    </row>
    <row r="140" spans="1:17" ht="15.75" customHeight="1">
      <c r="A140" s="1" t="s">
        <v>177</v>
      </c>
      <c r="B140" s="1" t="s">
        <v>26</v>
      </c>
      <c r="C140" s="4">
        <v>45725</v>
      </c>
      <c r="D140" s="4" t="str">
        <f>IF(
   C140 &lt; _xlfn.XLOOKUP(O140,'Campaign Metadata'!A:A,'Campaign Metadata'!B:B),
   "Before",
   IF(
      C140 &lt;= _xlfn.XLOOKUP(O140,'Campaign Metadata'!A:A,'Campaign Metadata'!C:C),
      "During",
      "After"
   )
 )</f>
        <v>After</v>
      </c>
      <c r="E140" s="1" t="s">
        <v>16</v>
      </c>
      <c r="F140" s="1" t="s">
        <v>50</v>
      </c>
      <c r="G140" s="5">
        <v>2754</v>
      </c>
      <c r="H140" s="5">
        <v>215</v>
      </c>
      <c r="I140" s="5">
        <v>264</v>
      </c>
      <c r="J140" s="5">
        <v>27762</v>
      </c>
      <c r="K140" s="5">
        <v>70203</v>
      </c>
      <c r="L140" s="5">
        <v>289</v>
      </c>
      <c r="M140" s="6">
        <f t="shared" si="4"/>
        <v>0.11645414595490239</v>
      </c>
      <c r="N140" s="5">
        <f t="shared" si="5"/>
        <v>3233</v>
      </c>
      <c r="O140" s="1" t="s">
        <v>18</v>
      </c>
      <c r="P140" s="27" t="s">
        <v>20</v>
      </c>
      <c r="Q140" s="27"/>
    </row>
    <row r="141" spans="1:17" ht="15.75" customHeight="1">
      <c r="A141" s="1" t="s">
        <v>178</v>
      </c>
      <c r="B141" s="1" t="s">
        <v>26</v>
      </c>
      <c r="C141" s="4">
        <v>45531</v>
      </c>
      <c r="D141" s="4" t="str">
        <f>IF(
   C141 &lt; _xlfn.XLOOKUP(O141,'Campaign Metadata'!A:A,'Campaign Metadata'!B:B),
   "Before",
   IF(
      C141 &lt;= _xlfn.XLOOKUP(O141,'Campaign Metadata'!A:A,'Campaign Metadata'!C:C),
      "During",
      "After"
   )
 )</f>
        <v>Before</v>
      </c>
      <c r="E141" s="1" t="s">
        <v>27</v>
      </c>
      <c r="F141" s="1" t="s">
        <v>28</v>
      </c>
      <c r="G141" s="5">
        <v>1856</v>
      </c>
      <c r="H141" s="5">
        <v>357</v>
      </c>
      <c r="I141" s="5">
        <v>348</v>
      </c>
      <c r="J141" s="5">
        <v>29428</v>
      </c>
      <c r="K141" s="5">
        <v>70206</v>
      </c>
      <c r="L141" s="5">
        <v>236</v>
      </c>
      <c r="M141" s="6">
        <f t="shared" si="4"/>
        <v>8.702596166915863E-2</v>
      </c>
      <c r="N141" s="5">
        <f t="shared" si="5"/>
        <v>2561</v>
      </c>
      <c r="O141" s="1" t="s">
        <v>18</v>
      </c>
      <c r="P141" s="27" t="s">
        <v>29</v>
      </c>
      <c r="Q141" s="27" t="s">
        <v>20</v>
      </c>
    </row>
    <row r="142" spans="1:17" ht="15.75" customHeight="1">
      <c r="A142" s="1" t="s">
        <v>179</v>
      </c>
      <c r="B142" s="1" t="s">
        <v>33</v>
      </c>
      <c r="C142" s="4">
        <v>45566</v>
      </c>
      <c r="D142" s="4" t="str">
        <f>IF(
   C142 &lt; _xlfn.XLOOKUP(O142,'Campaign Metadata'!A:A,'Campaign Metadata'!B:B),
   "Before",
   IF(
      C142 &lt;= _xlfn.XLOOKUP(O142,'Campaign Metadata'!A:A,'Campaign Metadata'!C:C),
      "During",
      "After"
   )
 )</f>
        <v>After</v>
      </c>
      <c r="E142" s="1" t="s">
        <v>56</v>
      </c>
      <c r="F142" s="1" t="s">
        <v>22</v>
      </c>
      <c r="G142" s="5">
        <v>3543</v>
      </c>
      <c r="H142" s="5">
        <v>334</v>
      </c>
      <c r="I142" s="5">
        <v>218</v>
      </c>
      <c r="J142" s="5">
        <v>58007</v>
      </c>
      <c r="K142" s="5">
        <v>24792</v>
      </c>
      <c r="L142" s="5">
        <v>273</v>
      </c>
      <c r="M142" s="6">
        <f t="shared" si="4"/>
        <v>7.0594928198320889E-2</v>
      </c>
      <c r="N142" s="5">
        <f t="shared" si="5"/>
        <v>4095</v>
      </c>
      <c r="O142" s="1" t="s">
        <v>57</v>
      </c>
      <c r="P142" s="27" t="s">
        <v>24</v>
      </c>
      <c r="Q142" s="27" t="s">
        <v>19</v>
      </c>
    </row>
    <row r="143" spans="1:17" ht="15.75" customHeight="1">
      <c r="A143" s="1" t="s">
        <v>180</v>
      </c>
      <c r="B143" s="1" t="s">
        <v>15</v>
      </c>
      <c r="C143" s="4">
        <v>45647</v>
      </c>
      <c r="D143" s="4" t="str">
        <f>IF(
   C143 &lt; _xlfn.XLOOKUP(O143,'Campaign Metadata'!A:A,'Campaign Metadata'!B:B),
   "Before",
   IF(
      C143 &lt;= _xlfn.XLOOKUP(O143,'Campaign Metadata'!A:A,'Campaign Metadata'!C:C),
      "During",
      "After"
   )
 )</f>
        <v>During</v>
      </c>
      <c r="E143" s="1" t="s">
        <v>27</v>
      </c>
      <c r="F143" s="1" t="s">
        <v>28</v>
      </c>
      <c r="G143" s="5">
        <v>4563</v>
      </c>
      <c r="H143" s="5">
        <v>398</v>
      </c>
      <c r="I143" s="5">
        <v>163</v>
      </c>
      <c r="J143" s="5">
        <v>43679</v>
      </c>
      <c r="K143" s="5">
        <v>48760</v>
      </c>
      <c r="L143" s="5">
        <v>92</v>
      </c>
      <c r="M143" s="6">
        <f t="shared" si="4"/>
        <v>0.11731037798484398</v>
      </c>
      <c r="N143" s="5">
        <f t="shared" si="5"/>
        <v>5124</v>
      </c>
      <c r="O143" s="1" t="s">
        <v>54</v>
      </c>
      <c r="P143" s="27" t="s">
        <v>20</v>
      </c>
      <c r="Q143" s="27"/>
    </row>
    <row r="144" spans="1:17" ht="15.75" customHeight="1">
      <c r="A144" s="1" t="s">
        <v>181</v>
      </c>
      <c r="B144" s="1" t="s">
        <v>15</v>
      </c>
      <c r="C144" s="4">
        <v>45460</v>
      </c>
      <c r="D144" s="4" t="str">
        <f>IF(
   C144 &lt; _xlfn.XLOOKUP(O144,'Campaign Metadata'!A:A,'Campaign Metadata'!B:B),
   "Before",
   IF(
      C144 &lt;= _xlfn.XLOOKUP(O144,'Campaign Metadata'!A:A,'Campaign Metadata'!C:C),
      "During",
      "After"
   )
 )</f>
        <v>Before</v>
      </c>
      <c r="E144" s="1" t="s">
        <v>16</v>
      </c>
      <c r="F144" s="1" t="s">
        <v>17</v>
      </c>
      <c r="G144" s="5">
        <v>4283</v>
      </c>
      <c r="H144" s="5">
        <v>471</v>
      </c>
      <c r="I144" s="5">
        <v>156</v>
      </c>
      <c r="J144" s="5">
        <v>53004</v>
      </c>
      <c r="K144" s="5">
        <v>25678</v>
      </c>
      <c r="L144" s="5">
        <v>105</v>
      </c>
      <c r="M144" s="6">
        <f t="shared" si="4"/>
        <v>9.2634518149573616E-2</v>
      </c>
      <c r="N144" s="5">
        <f t="shared" si="5"/>
        <v>4910</v>
      </c>
      <c r="O144" s="1" t="s">
        <v>23</v>
      </c>
      <c r="P144" s="27" t="s">
        <v>24</v>
      </c>
      <c r="Q144" s="27"/>
    </row>
    <row r="145" spans="1:17" ht="15.75" customHeight="1">
      <c r="A145" s="1" t="s">
        <v>182</v>
      </c>
      <c r="B145" s="1" t="s">
        <v>15</v>
      </c>
      <c r="C145" s="4">
        <v>45702</v>
      </c>
      <c r="D145" s="4" t="str">
        <f>IF(
   C145 &lt; _xlfn.XLOOKUP(O145,'Campaign Metadata'!A:A,'Campaign Metadata'!B:B),
   "Before",
   IF(
      C145 &lt;= _xlfn.XLOOKUP(O145,'Campaign Metadata'!A:A,'Campaign Metadata'!C:C),
      "During",
      "After"
   )
 )</f>
        <v>After</v>
      </c>
      <c r="E145" s="1" t="s">
        <v>16</v>
      </c>
      <c r="F145" s="1" t="s">
        <v>17</v>
      </c>
      <c r="G145" s="5">
        <v>2329</v>
      </c>
      <c r="H145" s="5">
        <v>373</v>
      </c>
      <c r="I145" s="5">
        <v>291</v>
      </c>
      <c r="J145" s="5">
        <v>49577</v>
      </c>
      <c r="K145" s="5">
        <v>28002</v>
      </c>
      <c r="L145" s="5">
        <v>82</v>
      </c>
      <c r="M145" s="6">
        <f t="shared" si="4"/>
        <v>6.0370736430199488E-2</v>
      </c>
      <c r="N145" s="5">
        <f t="shared" si="5"/>
        <v>2993</v>
      </c>
      <c r="O145" s="1" t="s">
        <v>18</v>
      </c>
      <c r="P145" s="27" t="s">
        <v>19</v>
      </c>
      <c r="Q145" s="27" t="s">
        <v>20</v>
      </c>
    </row>
    <row r="146" spans="1:17" ht="15.75" customHeight="1">
      <c r="A146" s="1" t="s">
        <v>183</v>
      </c>
      <c r="B146" s="1" t="s">
        <v>26</v>
      </c>
      <c r="C146" s="4">
        <v>45805</v>
      </c>
      <c r="D146" s="4" t="str">
        <f>IF(
   C146 &lt; _xlfn.XLOOKUP(O146,'Campaign Metadata'!A:A,'Campaign Metadata'!B:B),
   "Before",
   IF(
      C146 &lt;= _xlfn.XLOOKUP(O146,'Campaign Metadata'!A:A,'Campaign Metadata'!C:C),
      "During",
      "After"
   )
 )</f>
        <v>After</v>
      </c>
      <c r="E146" s="1" t="s">
        <v>27</v>
      </c>
      <c r="F146" s="1" t="s">
        <v>42</v>
      </c>
      <c r="G146" s="5">
        <v>4287</v>
      </c>
      <c r="H146" s="5">
        <v>273</v>
      </c>
      <c r="I146" s="5">
        <v>122</v>
      </c>
      <c r="J146" s="5">
        <v>40792</v>
      </c>
      <c r="K146" s="5">
        <v>23878</v>
      </c>
      <c r="L146" s="5">
        <v>277</v>
      </c>
      <c r="M146" s="6">
        <f t="shared" si="4"/>
        <v>0.11477740733477153</v>
      </c>
      <c r="N146" s="5">
        <f t="shared" si="5"/>
        <v>4682</v>
      </c>
      <c r="O146" s="1" t="s">
        <v>18</v>
      </c>
      <c r="P146" s="27" t="s">
        <v>29</v>
      </c>
      <c r="Q146" s="27" t="s">
        <v>20</v>
      </c>
    </row>
    <row r="147" spans="1:17" ht="15.75" customHeight="1">
      <c r="A147" s="1" t="s">
        <v>184</v>
      </c>
      <c r="B147" s="1" t="s">
        <v>15</v>
      </c>
      <c r="C147" s="4">
        <v>45799</v>
      </c>
      <c r="D147" s="4" t="str">
        <f>IF(
   C147 &lt; _xlfn.XLOOKUP(O147,'Campaign Metadata'!A:A,'Campaign Metadata'!B:B),
   "Before",
   IF(
      C147 &lt;= _xlfn.XLOOKUP(O147,'Campaign Metadata'!A:A,'Campaign Metadata'!C:C),
      "During",
      "After"
   )
 )</f>
        <v>After</v>
      </c>
      <c r="E147" s="1" t="s">
        <v>16</v>
      </c>
      <c r="F147" s="1" t="s">
        <v>17</v>
      </c>
      <c r="G147" s="5">
        <v>2633</v>
      </c>
      <c r="H147" s="5">
        <v>318</v>
      </c>
      <c r="I147" s="5">
        <v>380</v>
      </c>
      <c r="J147" s="5">
        <v>40869</v>
      </c>
      <c r="K147" s="5">
        <v>64474</v>
      </c>
      <c r="L147" s="5">
        <v>245</v>
      </c>
      <c r="M147" s="6">
        <f t="shared" si="4"/>
        <v>8.1504318676747664E-2</v>
      </c>
      <c r="N147" s="5">
        <f t="shared" si="5"/>
        <v>3331</v>
      </c>
      <c r="O147" s="1" t="s">
        <v>23</v>
      </c>
      <c r="P147" s="27" t="s">
        <v>24</v>
      </c>
      <c r="Q147" s="27"/>
    </row>
    <row r="148" spans="1:17" ht="15.75" customHeight="1">
      <c r="A148" s="1" t="s">
        <v>185</v>
      </c>
      <c r="B148" s="1" t="s">
        <v>26</v>
      </c>
      <c r="C148" s="4">
        <v>45312</v>
      </c>
      <c r="D148" s="4" t="str">
        <f>IF(
   C148 &lt; _xlfn.XLOOKUP(O148,'Campaign Metadata'!A:A,'Campaign Metadata'!B:B),
   "Before",
   IF(
      C148 &lt;= _xlfn.XLOOKUP(O148,'Campaign Metadata'!A:A,'Campaign Metadata'!C:C),
      "During",
      "After"
   )
 )</f>
        <v>Before</v>
      </c>
      <c r="E148" s="1" t="s">
        <v>27</v>
      </c>
      <c r="F148" s="1" t="s">
        <v>17</v>
      </c>
      <c r="G148" s="5">
        <v>2383</v>
      </c>
      <c r="H148" s="5">
        <v>136</v>
      </c>
      <c r="I148" s="5">
        <v>302</v>
      </c>
      <c r="J148" s="5">
        <v>39187</v>
      </c>
      <c r="K148" s="5">
        <v>22133</v>
      </c>
      <c r="L148" s="5">
        <v>208</v>
      </c>
      <c r="M148" s="6">
        <f t="shared" si="4"/>
        <v>7.1988159338556151E-2</v>
      </c>
      <c r="N148" s="5">
        <f t="shared" si="5"/>
        <v>2821</v>
      </c>
      <c r="O148" s="1" t="s">
        <v>18</v>
      </c>
      <c r="P148" s="27" t="s">
        <v>29</v>
      </c>
      <c r="Q148" s="27" t="s">
        <v>20</v>
      </c>
    </row>
    <row r="149" spans="1:17" ht="15.75" customHeight="1">
      <c r="A149" s="1" t="s">
        <v>186</v>
      </c>
      <c r="B149" s="1" t="s">
        <v>26</v>
      </c>
      <c r="C149" s="4">
        <v>45696</v>
      </c>
      <c r="D149" s="4" t="str">
        <f>IF(
   C149 &lt; _xlfn.XLOOKUP(O149,'Campaign Metadata'!A:A,'Campaign Metadata'!B:B),
   "Before",
   IF(
      C149 &lt;= _xlfn.XLOOKUP(O149,'Campaign Metadata'!A:A,'Campaign Metadata'!C:C),
      "During",
      "After"
   )
 )</f>
        <v>During</v>
      </c>
      <c r="E149" s="1" t="s">
        <v>27</v>
      </c>
      <c r="F149" s="1" t="s">
        <v>50</v>
      </c>
      <c r="G149" s="5">
        <v>4752</v>
      </c>
      <c r="H149" s="5">
        <v>334</v>
      </c>
      <c r="I149" s="5">
        <v>56</v>
      </c>
      <c r="J149" s="5">
        <v>48017</v>
      </c>
      <c r="K149" s="5">
        <v>55534</v>
      </c>
      <c r="L149" s="5">
        <v>270</v>
      </c>
      <c r="M149" s="6">
        <f t="shared" si="4"/>
        <v>0.10708707332819627</v>
      </c>
      <c r="N149" s="5">
        <f t="shared" si="5"/>
        <v>5142</v>
      </c>
      <c r="O149" s="1" t="s">
        <v>18</v>
      </c>
      <c r="P149" s="27" t="s">
        <v>24</v>
      </c>
      <c r="Q149" s="27" t="s">
        <v>29</v>
      </c>
    </row>
    <row r="150" spans="1:17" ht="15.75" customHeight="1">
      <c r="A150" s="1" t="s">
        <v>187</v>
      </c>
      <c r="B150" s="1" t="s">
        <v>26</v>
      </c>
      <c r="C150" s="4">
        <v>45760</v>
      </c>
      <c r="D150" s="4" t="str">
        <f>IF(
   C150 &lt; _xlfn.XLOOKUP(O150,'Campaign Metadata'!A:A,'Campaign Metadata'!B:B),
   "Before",
   IF(
      C150 &lt;= _xlfn.XLOOKUP(O150,'Campaign Metadata'!A:A,'Campaign Metadata'!C:C),
      "During",
      "After"
   )
 )</f>
        <v>After</v>
      </c>
      <c r="E150" s="1" t="s">
        <v>16</v>
      </c>
      <c r="F150" s="1" t="s">
        <v>48</v>
      </c>
      <c r="G150" s="5">
        <v>3890</v>
      </c>
      <c r="H150" s="5">
        <v>408</v>
      </c>
      <c r="I150" s="5">
        <v>338</v>
      </c>
      <c r="J150" s="5">
        <v>56994</v>
      </c>
      <c r="K150" s="5">
        <v>32621</v>
      </c>
      <c r="L150" s="5">
        <v>286</v>
      </c>
      <c r="M150" s="6">
        <f t="shared" si="4"/>
        <v>8.1341895638137346E-2</v>
      </c>
      <c r="N150" s="5">
        <f t="shared" si="5"/>
        <v>4636</v>
      </c>
      <c r="O150" s="1" t="s">
        <v>23</v>
      </c>
      <c r="P150" s="27" t="s">
        <v>19</v>
      </c>
      <c r="Q150" s="27"/>
    </row>
    <row r="151" spans="1:17" ht="15.75" customHeight="1">
      <c r="A151" s="1" t="s">
        <v>188</v>
      </c>
      <c r="B151" s="1" t="s">
        <v>26</v>
      </c>
      <c r="C151" s="4">
        <v>45442</v>
      </c>
      <c r="D151" s="4" t="str">
        <f>IF(
   C151 &lt; _xlfn.XLOOKUP(O151,'Campaign Metadata'!A:A,'Campaign Metadata'!B:B),
   "Before",
   IF(
      C151 &lt;= _xlfn.XLOOKUP(O151,'Campaign Metadata'!A:A,'Campaign Metadata'!C:C),
      "During",
      "After"
   )
 )</f>
        <v>Before</v>
      </c>
      <c r="E151" s="1" t="s">
        <v>27</v>
      </c>
      <c r="F151" s="1" t="s">
        <v>50</v>
      </c>
      <c r="G151" s="5">
        <v>2311</v>
      </c>
      <c r="H151" s="5">
        <v>207</v>
      </c>
      <c r="I151" s="5">
        <v>363</v>
      </c>
      <c r="J151" s="5">
        <v>30349</v>
      </c>
      <c r="K151" s="5">
        <v>32925</v>
      </c>
      <c r="L151" s="5">
        <v>88</v>
      </c>
      <c r="M151" s="6">
        <f t="shared" si="4"/>
        <v>9.4928992718046723E-2</v>
      </c>
      <c r="N151" s="5">
        <f t="shared" si="5"/>
        <v>2881</v>
      </c>
      <c r="O151" s="1" t="s">
        <v>18</v>
      </c>
      <c r="P151" s="27" t="s">
        <v>29</v>
      </c>
      <c r="Q151" s="27" t="s">
        <v>20</v>
      </c>
    </row>
    <row r="152" spans="1:17" ht="15.75" customHeight="1">
      <c r="A152" s="1" t="s">
        <v>189</v>
      </c>
      <c r="B152" s="1" t="s">
        <v>15</v>
      </c>
      <c r="C152" s="4">
        <v>45516</v>
      </c>
      <c r="D152" s="4" t="str">
        <f>IF(
   C152 &lt; _xlfn.XLOOKUP(O152,'Campaign Metadata'!A:A,'Campaign Metadata'!B:B),
   "Before",
   IF(
      C152 &lt;= _xlfn.XLOOKUP(O152,'Campaign Metadata'!A:A,'Campaign Metadata'!C:C),
      "During",
      "After"
   )
 )</f>
        <v>Before</v>
      </c>
      <c r="E152" s="1" t="s">
        <v>27</v>
      </c>
      <c r="F152" s="1" t="s">
        <v>17</v>
      </c>
      <c r="G152" s="5">
        <v>2962</v>
      </c>
      <c r="H152" s="5">
        <v>400</v>
      </c>
      <c r="I152" s="5">
        <v>280</v>
      </c>
      <c r="J152" s="5">
        <v>52508</v>
      </c>
      <c r="K152" s="5">
        <v>58329</v>
      </c>
      <c r="L152" s="5">
        <v>219</v>
      </c>
      <c r="M152" s="6">
        <f t="shared" si="4"/>
        <v>6.9360859297630834E-2</v>
      </c>
      <c r="N152" s="5">
        <f t="shared" si="5"/>
        <v>3642</v>
      </c>
      <c r="O152" s="1" t="s">
        <v>54</v>
      </c>
      <c r="P152" s="27" t="s">
        <v>20</v>
      </c>
      <c r="Q152" s="27"/>
    </row>
    <row r="153" spans="1:17" ht="15.75" customHeight="1">
      <c r="A153" s="1" t="s">
        <v>190</v>
      </c>
      <c r="B153" s="1" t="s">
        <v>15</v>
      </c>
      <c r="C153" s="4">
        <v>45562</v>
      </c>
      <c r="D153" s="4" t="str">
        <f>IF(
   C153 &lt; _xlfn.XLOOKUP(O153,'Campaign Metadata'!A:A,'Campaign Metadata'!B:B),
   "Before",
   IF(
      C153 &lt;= _xlfn.XLOOKUP(O153,'Campaign Metadata'!A:A,'Campaign Metadata'!C:C),
      "During",
      "After"
   )
 )</f>
        <v>Before</v>
      </c>
      <c r="E153" s="1" t="s">
        <v>16</v>
      </c>
      <c r="F153" s="1" t="s">
        <v>17</v>
      </c>
      <c r="G153" s="5">
        <v>3118</v>
      </c>
      <c r="H153" s="5">
        <v>116</v>
      </c>
      <c r="I153" s="5">
        <v>195</v>
      </c>
      <c r="J153" s="5">
        <v>37100</v>
      </c>
      <c r="K153" s="5">
        <v>62629</v>
      </c>
      <c r="L153" s="5">
        <v>272</v>
      </c>
      <c r="M153" s="6">
        <f t="shared" si="4"/>
        <v>9.2425876010781671E-2</v>
      </c>
      <c r="N153" s="5">
        <f t="shared" si="5"/>
        <v>3429</v>
      </c>
      <c r="O153" s="1" t="s">
        <v>23</v>
      </c>
      <c r="P153" s="27" t="s">
        <v>24</v>
      </c>
      <c r="Q153" s="27"/>
    </row>
    <row r="154" spans="1:17" ht="15.75" customHeight="1">
      <c r="A154" s="1" t="s">
        <v>191</v>
      </c>
      <c r="B154" s="1" t="s">
        <v>26</v>
      </c>
      <c r="C154" s="4">
        <v>45819</v>
      </c>
      <c r="D154" s="4" t="str">
        <f>IF(
   C154 &lt; _xlfn.XLOOKUP(O154,'Campaign Metadata'!A:A,'Campaign Metadata'!B:B),
   "Before",
   IF(
      C154 &lt;= _xlfn.XLOOKUP(O154,'Campaign Metadata'!A:A,'Campaign Metadata'!C:C),
      "During",
      "After"
   )
 )</f>
        <v>After</v>
      </c>
      <c r="E154" s="1" t="s">
        <v>27</v>
      </c>
      <c r="F154" s="1" t="s">
        <v>22</v>
      </c>
      <c r="G154" s="5">
        <v>3805</v>
      </c>
      <c r="H154" s="5">
        <v>453</v>
      </c>
      <c r="I154" s="5">
        <v>63</v>
      </c>
      <c r="J154" s="5">
        <v>52395</v>
      </c>
      <c r="K154" s="5">
        <v>72934</v>
      </c>
      <c r="L154" s="5">
        <v>87</v>
      </c>
      <c r="M154" s="6">
        <f t="shared" si="4"/>
        <v>8.2469701307376658E-2</v>
      </c>
      <c r="N154" s="5">
        <f t="shared" si="5"/>
        <v>4321</v>
      </c>
      <c r="O154" s="1" t="s">
        <v>18</v>
      </c>
      <c r="P154" s="27" t="s">
        <v>24</v>
      </c>
      <c r="Q154" s="27" t="s">
        <v>29</v>
      </c>
    </row>
    <row r="155" spans="1:17" ht="15.75" customHeight="1">
      <c r="A155" s="1" t="s">
        <v>192</v>
      </c>
      <c r="B155" s="1" t="s">
        <v>15</v>
      </c>
      <c r="C155" s="4">
        <v>45615</v>
      </c>
      <c r="D155" s="4" t="str">
        <f>IF(
   C155 &lt; _xlfn.XLOOKUP(O155,'Campaign Metadata'!A:A,'Campaign Metadata'!B:B),
   "Before",
   IF(
      C155 &lt;= _xlfn.XLOOKUP(O155,'Campaign Metadata'!A:A,'Campaign Metadata'!C:C),
      "During",
      "After"
   )
 )</f>
        <v>Before</v>
      </c>
      <c r="E155" s="1" t="s">
        <v>16</v>
      </c>
      <c r="F155" s="1" t="s">
        <v>37</v>
      </c>
      <c r="G155" s="5">
        <v>2525</v>
      </c>
      <c r="H155" s="5">
        <v>272</v>
      </c>
      <c r="I155" s="5">
        <v>294</v>
      </c>
      <c r="J155" s="5">
        <v>51875</v>
      </c>
      <c r="K155" s="5">
        <v>24732</v>
      </c>
      <c r="L155" s="5">
        <v>92</v>
      </c>
      <c r="M155" s="6">
        <f t="shared" si="4"/>
        <v>5.9585542168674697E-2</v>
      </c>
      <c r="N155" s="5">
        <f t="shared" si="5"/>
        <v>3091</v>
      </c>
      <c r="O155" s="1" t="s">
        <v>23</v>
      </c>
      <c r="P155" s="27" t="s">
        <v>24</v>
      </c>
      <c r="Q155" s="27"/>
    </row>
    <row r="156" spans="1:17" ht="15.75" customHeight="1">
      <c r="A156" s="1" t="s">
        <v>193</v>
      </c>
      <c r="B156" s="1" t="s">
        <v>15</v>
      </c>
      <c r="C156" s="4">
        <v>45407</v>
      </c>
      <c r="D156" s="4" t="str">
        <f>IF(
   C156 &lt; _xlfn.XLOOKUP(O156,'Campaign Metadata'!A:A,'Campaign Metadata'!B:B),
   "Before",
   IF(
      C156 &lt;= _xlfn.XLOOKUP(O156,'Campaign Metadata'!A:A,'Campaign Metadata'!C:C),
      "During",
      "After"
   )
 )</f>
        <v>Before</v>
      </c>
      <c r="E156" s="1" t="s">
        <v>16</v>
      </c>
      <c r="F156" s="1" t="s">
        <v>34</v>
      </c>
      <c r="G156" s="5">
        <v>3563</v>
      </c>
      <c r="H156" s="5">
        <v>483</v>
      </c>
      <c r="I156" s="5">
        <v>227</v>
      </c>
      <c r="J156" s="5">
        <v>41085</v>
      </c>
      <c r="K156" s="5">
        <v>26393</v>
      </c>
      <c r="L156" s="5">
        <v>236</v>
      </c>
      <c r="M156" s="6">
        <f t="shared" si="4"/>
        <v>0.10400389436534015</v>
      </c>
      <c r="N156" s="5">
        <f t="shared" si="5"/>
        <v>4273</v>
      </c>
      <c r="O156" s="1" t="s">
        <v>18</v>
      </c>
      <c r="P156" s="27" t="s">
        <v>19</v>
      </c>
      <c r="Q156" s="27" t="s">
        <v>20</v>
      </c>
    </row>
    <row r="157" spans="1:17" ht="15.75" customHeight="1">
      <c r="A157" s="1" t="s">
        <v>194</v>
      </c>
      <c r="B157" s="1" t="s">
        <v>33</v>
      </c>
      <c r="C157" s="4">
        <v>45538</v>
      </c>
      <c r="D157" s="4" t="str">
        <f>IF(
   C157 &lt; _xlfn.XLOOKUP(O157,'Campaign Metadata'!A:A,'Campaign Metadata'!B:B),
   "Before",
   IF(
      C157 &lt;= _xlfn.XLOOKUP(O157,'Campaign Metadata'!A:A,'Campaign Metadata'!C:C),
      "During",
      "After"
   )
 )</f>
        <v>After</v>
      </c>
      <c r="E157" s="1" t="s">
        <v>56</v>
      </c>
      <c r="F157" s="1" t="s">
        <v>37</v>
      </c>
      <c r="G157" s="5">
        <v>1437</v>
      </c>
      <c r="H157" s="5">
        <v>494</v>
      </c>
      <c r="I157" s="5">
        <v>129</v>
      </c>
      <c r="J157" s="5">
        <v>53048</v>
      </c>
      <c r="K157" s="5">
        <v>44090</v>
      </c>
      <c r="L157" s="5">
        <v>230</v>
      </c>
      <c r="M157" s="6">
        <f t="shared" si="4"/>
        <v>3.8832755240536872E-2</v>
      </c>
      <c r="N157" s="5">
        <f t="shared" si="5"/>
        <v>2060</v>
      </c>
      <c r="O157" s="1" t="s">
        <v>57</v>
      </c>
      <c r="P157" s="27" t="s">
        <v>24</v>
      </c>
      <c r="Q157" s="27" t="s">
        <v>19</v>
      </c>
    </row>
    <row r="158" spans="1:17" ht="15.75" customHeight="1">
      <c r="A158" s="1" t="s">
        <v>195</v>
      </c>
      <c r="B158" s="1" t="s">
        <v>33</v>
      </c>
      <c r="C158" s="4">
        <v>45718</v>
      </c>
      <c r="D158" s="4" t="str">
        <f>IF(
   C158 &lt; _xlfn.XLOOKUP(O158,'Campaign Metadata'!A:A,'Campaign Metadata'!B:B),
   "Before",
   IF(
      C158 &lt;= _xlfn.XLOOKUP(O158,'Campaign Metadata'!A:A,'Campaign Metadata'!C:C),
      "During",
      "After"
   )
 )</f>
        <v>During</v>
      </c>
      <c r="E158" s="1" t="s">
        <v>16</v>
      </c>
      <c r="F158" s="1" t="s">
        <v>48</v>
      </c>
      <c r="G158" s="5">
        <v>4425</v>
      </c>
      <c r="H158" s="5">
        <v>185</v>
      </c>
      <c r="I158" s="5">
        <v>162</v>
      </c>
      <c r="J158" s="5">
        <v>24610</v>
      </c>
      <c r="K158" s="5">
        <v>21342</v>
      </c>
      <c r="L158" s="5">
        <v>158</v>
      </c>
      <c r="M158" s="6">
        <f t="shared" si="4"/>
        <v>0.19390491670052823</v>
      </c>
      <c r="N158" s="5">
        <f t="shared" si="5"/>
        <v>4772</v>
      </c>
      <c r="O158" s="1" t="s">
        <v>23</v>
      </c>
      <c r="P158" s="27" t="s">
        <v>24</v>
      </c>
      <c r="Q158" s="27" t="s">
        <v>35</v>
      </c>
    </row>
    <row r="159" spans="1:17" ht="15.75" customHeight="1">
      <c r="A159" s="1" t="s">
        <v>196</v>
      </c>
      <c r="B159" s="1" t="s">
        <v>26</v>
      </c>
      <c r="C159" s="4">
        <v>45737</v>
      </c>
      <c r="D159" s="4" t="str">
        <f>IF(
   C159 &lt; _xlfn.XLOOKUP(O159,'Campaign Metadata'!A:A,'Campaign Metadata'!B:B),
   "Before",
   IF(
      C159 &lt;= _xlfn.XLOOKUP(O159,'Campaign Metadata'!A:A,'Campaign Metadata'!C:C),
      "During",
      "After"
   )
 )</f>
        <v>After</v>
      </c>
      <c r="E159" s="1" t="s">
        <v>27</v>
      </c>
      <c r="F159" s="1" t="s">
        <v>28</v>
      </c>
      <c r="G159" s="5">
        <v>4609</v>
      </c>
      <c r="H159" s="5">
        <v>427</v>
      </c>
      <c r="I159" s="5">
        <v>395</v>
      </c>
      <c r="J159" s="5">
        <v>33698</v>
      </c>
      <c r="K159" s="5">
        <v>29259</v>
      </c>
      <c r="L159" s="5">
        <v>216</v>
      </c>
      <c r="M159" s="6">
        <f t="shared" si="4"/>
        <v>0.16116683482699271</v>
      </c>
      <c r="N159" s="5">
        <f t="shared" si="5"/>
        <v>5431</v>
      </c>
      <c r="O159" s="1" t="s">
        <v>18</v>
      </c>
      <c r="P159" s="27" t="s">
        <v>24</v>
      </c>
      <c r="Q159" s="27" t="s">
        <v>29</v>
      </c>
    </row>
    <row r="160" spans="1:17" ht="15.75" customHeight="1">
      <c r="A160" s="1" t="s">
        <v>197</v>
      </c>
      <c r="B160" s="1" t="s">
        <v>15</v>
      </c>
      <c r="C160" s="4">
        <v>45394</v>
      </c>
      <c r="D160" s="4" t="str">
        <f>IF(
   C160 &lt; _xlfn.XLOOKUP(O160,'Campaign Metadata'!A:A,'Campaign Metadata'!B:B),
   "Before",
   IF(
      C160 &lt;= _xlfn.XLOOKUP(O160,'Campaign Metadata'!A:A,'Campaign Metadata'!C:C),
      "During",
      "After"
   )
 )</f>
        <v>Before</v>
      </c>
      <c r="E160" s="1" t="s">
        <v>27</v>
      </c>
      <c r="F160" s="1" t="s">
        <v>39</v>
      </c>
      <c r="G160" s="5">
        <v>1558</v>
      </c>
      <c r="H160" s="5">
        <v>352</v>
      </c>
      <c r="I160" s="5">
        <v>202</v>
      </c>
      <c r="J160" s="5">
        <v>25405</v>
      </c>
      <c r="K160" s="5">
        <v>69941</v>
      </c>
      <c r="L160" s="5">
        <v>219</v>
      </c>
      <c r="M160" s="6">
        <f t="shared" si="4"/>
        <v>8.3133241487896081E-2</v>
      </c>
      <c r="N160" s="5">
        <f t="shared" si="5"/>
        <v>2112</v>
      </c>
      <c r="O160" s="1" t="s">
        <v>54</v>
      </c>
      <c r="P160" s="27" t="s">
        <v>20</v>
      </c>
      <c r="Q160" s="27"/>
    </row>
    <row r="161" spans="1:17" ht="15.75" customHeight="1">
      <c r="A161" s="1" t="s">
        <v>198</v>
      </c>
      <c r="B161" s="1" t="s">
        <v>33</v>
      </c>
      <c r="C161" s="4">
        <v>45330</v>
      </c>
      <c r="D161" s="4" t="str">
        <f>IF(
   C161 &lt; _xlfn.XLOOKUP(O161,'Campaign Metadata'!A:A,'Campaign Metadata'!B:B),
   "Before",
   IF(
      C161 &lt;= _xlfn.XLOOKUP(O161,'Campaign Metadata'!A:A,'Campaign Metadata'!C:C),
      "During",
      "After"
   )
 )</f>
        <v>Before</v>
      </c>
      <c r="E161" s="1" t="s">
        <v>56</v>
      </c>
      <c r="F161" s="1" t="s">
        <v>42</v>
      </c>
      <c r="G161" s="5">
        <v>1889</v>
      </c>
      <c r="H161" s="5">
        <v>298</v>
      </c>
      <c r="I161" s="5">
        <v>122</v>
      </c>
      <c r="J161" s="5">
        <v>46225</v>
      </c>
      <c r="K161" s="5">
        <v>74305</v>
      </c>
      <c r="L161" s="5">
        <v>293</v>
      </c>
      <c r="M161" s="6">
        <f t="shared" si="4"/>
        <v>4.9951325040562468E-2</v>
      </c>
      <c r="N161" s="5">
        <f t="shared" si="5"/>
        <v>2309</v>
      </c>
      <c r="O161" s="1" t="s">
        <v>57</v>
      </c>
      <c r="P161" s="27" t="s">
        <v>24</v>
      </c>
      <c r="Q161" s="27" t="s">
        <v>19</v>
      </c>
    </row>
    <row r="162" spans="1:17" ht="15.75" customHeight="1">
      <c r="A162" s="1" t="s">
        <v>199</v>
      </c>
      <c r="B162" s="1" t="s">
        <v>15</v>
      </c>
      <c r="C162" s="4">
        <v>45803</v>
      </c>
      <c r="D162" s="4" t="str">
        <f>IF(
   C162 &lt; _xlfn.XLOOKUP(O162,'Campaign Metadata'!A:A,'Campaign Metadata'!B:B),
   "Before",
   IF(
      C162 &lt;= _xlfn.XLOOKUP(O162,'Campaign Metadata'!A:A,'Campaign Metadata'!C:C),
      "During",
      "After"
   )
 )</f>
        <v>After</v>
      </c>
      <c r="E162" s="1" t="s">
        <v>16</v>
      </c>
      <c r="F162" s="1" t="s">
        <v>17</v>
      </c>
      <c r="G162" s="5">
        <v>3086</v>
      </c>
      <c r="H162" s="5">
        <v>148</v>
      </c>
      <c r="I162" s="5">
        <v>310</v>
      </c>
      <c r="J162" s="5">
        <v>22824</v>
      </c>
      <c r="K162" s="5">
        <v>58103</v>
      </c>
      <c r="L162" s="5">
        <v>275</v>
      </c>
      <c r="M162" s="6">
        <f t="shared" si="4"/>
        <v>0.1552751489660007</v>
      </c>
      <c r="N162" s="5">
        <f t="shared" si="5"/>
        <v>3544</v>
      </c>
      <c r="O162" s="1" t="s">
        <v>23</v>
      </c>
      <c r="P162" s="27" t="s">
        <v>24</v>
      </c>
      <c r="Q162" s="27"/>
    </row>
    <row r="163" spans="1:17" ht="15.75" customHeight="1">
      <c r="A163" s="1" t="s">
        <v>200</v>
      </c>
      <c r="B163" s="1" t="s">
        <v>15</v>
      </c>
      <c r="C163" s="4">
        <v>45610</v>
      </c>
      <c r="D163" s="4" t="str">
        <f>IF(
   C163 &lt; _xlfn.XLOOKUP(O163,'Campaign Metadata'!A:A,'Campaign Metadata'!B:B),
   "Before",
   IF(
      C163 &lt;= _xlfn.XLOOKUP(O163,'Campaign Metadata'!A:A,'Campaign Metadata'!C:C),
      "During",
      "After"
   )
 )</f>
        <v>Before</v>
      </c>
      <c r="E163" s="1" t="s">
        <v>16</v>
      </c>
      <c r="F163" s="1" t="s">
        <v>34</v>
      </c>
      <c r="G163" s="5">
        <v>2422</v>
      </c>
      <c r="H163" s="5">
        <v>318</v>
      </c>
      <c r="I163" s="5">
        <v>118</v>
      </c>
      <c r="J163" s="5">
        <v>25386</v>
      </c>
      <c r="K163" s="5">
        <v>20873</v>
      </c>
      <c r="L163" s="5">
        <v>100</v>
      </c>
      <c r="M163" s="6">
        <f t="shared" si="4"/>
        <v>0.11258173796580792</v>
      </c>
      <c r="N163" s="5">
        <f t="shared" si="5"/>
        <v>2858</v>
      </c>
      <c r="O163" s="1" t="s">
        <v>18</v>
      </c>
      <c r="P163" s="27" t="s">
        <v>19</v>
      </c>
      <c r="Q163" s="27" t="s">
        <v>20</v>
      </c>
    </row>
    <row r="164" spans="1:17" ht="15.75" customHeight="1">
      <c r="A164" s="1" t="s">
        <v>201</v>
      </c>
      <c r="B164" s="1" t="s">
        <v>33</v>
      </c>
      <c r="C164" s="4">
        <v>45513</v>
      </c>
      <c r="D164" s="4" t="str">
        <f>IF(
   C164 &lt; _xlfn.XLOOKUP(O164,'Campaign Metadata'!A:A,'Campaign Metadata'!B:B),
   "Before",
   IF(
      C164 &lt;= _xlfn.XLOOKUP(O164,'Campaign Metadata'!A:A,'Campaign Metadata'!C:C),
      "During",
      "After"
   )
 )</f>
        <v>After</v>
      </c>
      <c r="E164" s="1" t="s">
        <v>56</v>
      </c>
      <c r="F164" s="1" t="s">
        <v>48</v>
      </c>
      <c r="G164" s="5">
        <v>3414</v>
      </c>
      <c r="H164" s="5">
        <v>154</v>
      </c>
      <c r="I164" s="5">
        <v>204</v>
      </c>
      <c r="J164" s="5">
        <v>34146</v>
      </c>
      <c r="K164" s="5">
        <v>44633</v>
      </c>
      <c r="L164" s="5">
        <v>256</v>
      </c>
      <c r="M164" s="6">
        <f t="shared" si="4"/>
        <v>0.11046681895390383</v>
      </c>
      <c r="N164" s="5">
        <f t="shared" si="5"/>
        <v>3772</v>
      </c>
      <c r="O164" s="1" t="s">
        <v>57</v>
      </c>
      <c r="P164" s="27" t="s">
        <v>24</v>
      </c>
      <c r="Q164" s="27" t="s">
        <v>19</v>
      </c>
    </row>
    <row r="165" spans="1:17" ht="15.75" customHeight="1">
      <c r="A165" s="1" t="s">
        <v>202</v>
      </c>
      <c r="B165" s="1" t="s">
        <v>15</v>
      </c>
      <c r="C165" s="4">
        <v>45835</v>
      </c>
      <c r="D165" s="4" t="str">
        <f>IF(
   C165 &lt; _xlfn.XLOOKUP(O165,'Campaign Metadata'!A:A,'Campaign Metadata'!B:B),
   "Before",
   IF(
      C165 &lt;= _xlfn.XLOOKUP(O165,'Campaign Metadata'!A:A,'Campaign Metadata'!C:C),
      "During",
      "After"
   )
 )</f>
        <v>After</v>
      </c>
      <c r="E165" s="1" t="s">
        <v>27</v>
      </c>
      <c r="F165" s="1" t="s">
        <v>37</v>
      </c>
      <c r="G165" s="5">
        <v>1342</v>
      </c>
      <c r="H165" s="5">
        <v>332</v>
      </c>
      <c r="I165" s="5">
        <v>163</v>
      </c>
      <c r="J165" s="5">
        <v>51712</v>
      </c>
      <c r="K165" s="5">
        <v>57922</v>
      </c>
      <c r="L165" s="5">
        <v>168</v>
      </c>
      <c r="M165" s="6">
        <f t="shared" si="4"/>
        <v>3.5523669554455448E-2</v>
      </c>
      <c r="N165" s="5">
        <f t="shared" si="5"/>
        <v>1837</v>
      </c>
      <c r="O165" s="1" t="s">
        <v>54</v>
      </c>
      <c r="P165" s="27" t="s">
        <v>20</v>
      </c>
      <c r="Q165" s="27"/>
    </row>
    <row r="166" spans="1:17" ht="15.75" customHeight="1">
      <c r="A166" s="1" t="s">
        <v>203</v>
      </c>
      <c r="B166" s="1" t="s">
        <v>15</v>
      </c>
      <c r="C166" s="4">
        <v>45420</v>
      </c>
      <c r="D166" s="4" t="str">
        <f>IF(
   C166 &lt; _xlfn.XLOOKUP(O166,'Campaign Metadata'!A:A,'Campaign Metadata'!B:B),
   "Before",
   IF(
      C166 &lt;= _xlfn.XLOOKUP(O166,'Campaign Metadata'!A:A,'Campaign Metadata'!C:C),
      "During",
      "After"
   )
 )</f>
        <v>Before</v>
      </c>
      <c r="E166" s="1" t="s">
        <v>27</v>
      </c>
      <c r="F166" s="1" t="s">
        <v>34</v>
      </c>
      <c r="G166" s="5">
        <v>2414</v>
      </c>
      <c r="H166" s="5">
        <v>220</v>
      </c>
      <c r="I166" s="5">
        <v>280</v>
      </c>
      <c r="J166" s="5">
        <v>27355</v>
      </c>
      <c r="K166" s="5">
        <v>50562</v>
      </c>
      <c r="L166" s="5">
        <v>258</v>
      </c>
      <c r="M166" s="6">
        <f t="shared" si="4"/>
        <v>0.10652531529884847</v>
      </c>
      <c r="N166" s="5">
        <f t="shared" si="5"/>
        <v>2914</v>
      </c>
      <c r="O166" s="1" t="s">
        <v>54</v>
      </c>
      <c r="P166" s="27" t="s">
        <v>20</v>
      </c>
      <c r="Q166" s="27"/>
    </row>
    <row r="167" spans="1:17" ht="15.75" customHeight="1">
      <c r="A167" s="1" t="s">
        <v>204</v>
      </c>
      <c r="B167" s="1" t="s">
        <v>15</v>
      </c>
      <c r="C167" s="4">
        <v>45387</v>
      </c>
      <c r="D167" s="4" t="str">
        <f>IF(
   C167 &lt; _xlfn.XLOOKUP(O167,'Campaign Metadata'!A:A,'Campaign Metadata'!B:B),
   "Before",
   IF(
      C167 &lt;= _xlfn.XLOOKUP(O167,'Campaign Metadata'!A:A,'Campaign Metadata'!C:C),
      "During",
      "After"
   )
 )</f>
        <v>Before</v>
      </c>
      <c r="E167" s="1" t="s">
        <v>16</v>
      </c>
      <c r="F167" s="1" t="s">
        <v>28</v>
      </c>
      <c r="G167" s="5">
        <v>4383</v>
      </c>
      <c r="H167" s="5">
        <v>352</v>
      </c>
      <c r="I167" s="5">
        <v>176</v>
      </c>
      <c r="J167" s="5">
        <v>53239</v>
      </c>
      <c r="K167" s="5">
        <v>34168</v>
      </c>
      <c r="L167" s="5">
        <v>288</v>
      </c>
      <c r="M167" s="6">
        <f t="shared" si="4"/>
        <v>9.2244407295403744E-2</v>
      </c>
      <c r="N167" s="5">
        <f t="shared" si="5"/>
        <v>4911</v>
      </c>
      <c r="O167" s="1" t="s">
        <v>23</v>
      </c>
      <c r="P167" s="27" t="s">
        <v>24</v>
      </c>
      <c r="Q167" s="27"/>
    </row>
    <row r="168" spans="1:17" ht="15.75" customHeight="1">
      <c r="A168" s="1" t="s">
        <v>205</v>
      </c>
      <c r="B168" s="1" t="s">
        <v>33</v>
      </c>
      <c r="C168" s="4">
        <v>45684</v>
      </c>
      <c r="D168" s="4" t="str">
        <f>IF(
   C168 &lt; _xlfn.XLOOKUP(O168,'Campaign Metadata'!A:A,'Campaign Metadata'!B:B),
   "Before",
   IF(
      C168 &lt;= _xlfn.XLOOKUP(O168,'Campaign Metadata'!A:A,'Campaign Metadata'!C:C),
      "During",
      "After"
   )
 )</f>
        <v>Before</v>
      </c>
      <c r="E168" s="1" t="s">
        <v>16</v>
      </c>
      <c r="F168" s="1" t="s">
        <v>31</v>
      </c>
      <c r="G168" s="5">
        <v>4294</v>
      </c>
      <c r="H168" s="5">
        <v>423</v>
      </c>
      <c r="I168" s="5">
        <v>93</v>
      </c>
      <c r="J168" s="5">
        <v>29828</v>
      </c>
      <c r="K168" s="5">
        <v>73144</v>
      </c>
      <c r="L168" s="5">
        <v>298</v>
      </c>
      <c r="M168" s="6">
        <f t="shared" si="4"/>
        <v>0.1612578785034196</v>
      </c>
      <c r="N168" s="5">
        <f t="shared" si="5"/>
        <v>4810</v>
      </c>
      <c r="O168" s="1" t="s">
        <v>23</v>
      </c>
      <c r="P168" s="27" t="s">
        <v>24</v>
      </c>
      <c r="Q168" s="27" t="s">
        <v>35</v>
      </c>
    </row>
    <row r="169" spans="1:17" ht="15.75" customHeight="1">
      <c r="A169" s="1" t="s">
        <v>206</v>
      </c>
      <c r="B169" s="1" t="s">
        <v>15</v>
      </c>
      <c r="C169" s="4">
        <v>45385</v>
      </c>
      <c r="D169" s="4" t="str">
        <f>IF(
   C169 &lt; _xlfn.XLOOKUP(O169,'Campaign Metadata'!A:A,'Campaign Metadata'!B:B),
   "Before",
   IF(
      C169 &lt;= _xlfn.XLOOKUP(O169,'Campaign Metadata'!A:A,'Campaign Metadata'!C:C),
      "During",
      "After"
   )
 )</f>
        <v>Before</v>
      </c>
      <c r="E169" s="1" t="s">
        <v>16</v>
      </c>
      <c r="F169" s="1" t="s">
        <v>42</v>
      </c>
      <c r="G169" s="5">
        <v>2762</v>
      </c>
      <c r="H169" s="5">
        <v>339</v>
      </c>
      <c r="I169" s="5">
        <v>323</v>
      </c>
      <c r="J169" s="5">
        <v>33757</v>
      </c>
      <c r="K169" s="5">
        <v>68511</v>
      </c>
      <c r="L169" s="5">
        <v>121</v>
      </c>
      <c r="M169" s="6">
        <f t="shared" si="4"/>
        <v>0.10143081434961637</v>
      </c>
      <c r="N169" s="5">
        <f t="shared" si="5"/>
        <v>3424</v>
      </c>
      <c r="O169" s="1" t="s">
        <v>18</v>
      </c>
      <c r="P169" s="27" t="s">
        <v>19</v>
      </c>
      <c r="Q169" s="27" t="s">
        <v>20</v>
      </c>
    </row>
    <row r="170" spans="1:17" ht="15.75" customHeight="1">
      <c r="A170" s="1" t="s">
        <v>207</v>
      </c>
      <c r="B170" s="1" t="s">
        <v>33</v>
      </c>
      <c r="C170" s="4">
        <v>45660</v>
      </c>
      <c r="D170" s="4" t="str">
        <f>IF(
   C170 &lt; _xlfn.XLOOKUP(O170,'Campaign Metadata'!A:A,'Campaign Metadata'!B:B),
   "Before",
   IF(
      C170 &lt;= _xlfn.XLOOKUP(O170,'Campaign Metadata'!A:A,'Campaign Metadata'!C:C),
      "During",
      "After"
   )
 )</f>
        <v>Before</v>
      </c>
      <c r="E170" s="1" t="s">
        <v>16</v>
      </c>
      <c r="F170" s="1" t="s">
        <v>28</v>
      </c>
      <c r="G170" s="5">
        <v>3782</v>
      </c>
      <c r="H170" s="5">
        <v>484</v>
      </c>
      <c r="I170" s="5">
        <v>144</v>
      </c>
      <c r="J170" s="5">
        <v>52172</v>
      </c>
      <c r="K170" s="5">
        <v>59386</v>
      </c>
      <c r="L170" s="5">
        <v>175</v>
      </c>
      <c r="M170" s="6">
        <f t="shared" si="4"/>
        <v>8.4528099363643333E-2</v>
      </c>
      <c r="N170" s="5">
        <f t="shared" si="5"/>
        <v>4410</v>
      </c>
      <c r="O170" s="1" t="s">
        <v>23</v>
      </c>
      <c r="P170" s="27" t="s">
        <v>24</v>
      </c>
      <c r="Q170" s="27" t="s">
        <v>35</v>
      </c>
    </row>
    <row r="171" spans="1:17" ht="15.75" customHeight="1">
      <c r="A171" s="1" t="s">
        <v>208</v>
      </c>
      <c r="B171" s="1" t="s">
        <v>26</v>
      </c>
      <c r="C171" s="4">
        <v>45619</v>
      </c>
      <c r="D171" s="4" t="str">
        <f>IF(
   C171 &lt; _xlfn.XLOOKUP(O171,'Campaign Metadata'!A:A,'Campaign Metadata'!B:B),
   "Before",
   IF(
      C171 &lt;= _xlfn.XLOOKUP(O171,'Campaign Metadata'!A:A,'Campaign Metadata'!C:C),
      "During",
      "After"
   )
 )</f>
        <v>Before</v>
      </c>
      <c r="E171" s="1" t="s">
        <v>16</v>
      </c>
      <c r="F171" s="1" t="s">
        <v>28</v>
      </c>
      <c r="G171" s="5">
        <v>4318</v>
      </c>
      <c r="H171" s="5">
        <v>371</v>
      </c>
      <c r="I171" s="5">
        <v>329</v>
      </c>
      <c r="J171" s="5">
        <v>32347</v>
      </c>
      <c r="K171" s="5">
        <v>68956</v>
      </c>
      <c r="L171" s="5">
        <v>259</v>
      </c>
      <c r="M171" s="6">
        <f t="shared" si="4"/>
        <v>0.15513030574705536</v>
      </c>
      <c r="N171" s="5">
        <f t="shared" si="5"/>
        <v>5018</v>
      </c>
      <c r="O171" s="1" t="s">
        <v>23</v>
      </c>
      <c r="P171" s="27" t="s">
        <v>19</v>
      </c>
      <c r="Q171" s="27"/>
    </row>
    <row r="172" spans="1:17" ht="15.75" customHeight="1">
      <c r="A172" s="1" t="s">
        <v>209</v>
      </c>
      <c r="B172" s="1" t="s">
        <v>15</v>
      </c>
      <c r="C172" s="4">
        <v>45536</v>
      </c>
      <c r="D172" s="4" t="str">
        <f>IF(
   C172 &lt; _xlfn.XLOOKUP(O172,'Campaign Metadata'!A:A,'Campaign Metadata'!B:B),
   "Before",
   IF(
      C172 &lt;= _xlfn.XLOOKUP(O172,'Campaign Metadata'!A:A,'Campaign Metadata'!C:C),
      "During",
      "After"
   )
 )</f>
        <v>Before</v>
      </c>
      <c r="E172" s="1" t="s">
        <v>27</v>
      </c>
      <c r="F172" s="1" t="s">
        <v>31</v>
      </c>
      <c r="G172" s="5">
        <v>2335</v>
      </c>
      <c r="H172" s="5">
        <v>150</v>
      </c>
      <c r="I172" s="5">
        <v>75</v>
      </c>
      <c r="J172" s="5">
        <v>26114</v>
      </c>
      <c r="K172" s="5">
        <v>57549</v>
      </c>
      <c r="L172" s="5">
        <v>135</v>
      </c>
      <c r="M172" s="6">
        <f t="shared" si="4"/>
        <v>9.8031707130274953E-2</v>
      </c>
      <c r="N172" s="5">
        <f t="shared" si="5"/>
        <v>2560</v>
      </c>
      <c r="O172" s="1" t="s">
        <v>54</v>
      </c>
      <c r="P172" s="27" t="s">
        <v>20</v>
      </c>
      <c r="Q172" s="27"/>
    </row>
    <row r="173" spans="1:17" ht="15.75" customHeight="1">
      <c r="A173" s="1" t="s">
        <v>210</v>
      </c>
      <c r="B173" s="1" t="s">
        <v>33</v>
      </c>
      <c r="C173" s="4">
        <v>45400</v>
      </c>
      <c r="D173" s="4" t="str">
        <f>IF(
   C173 &lt; _xlfn.XLOOKUP(O173,'Campaign Metadata'!A:A,'Campaign Metadata'!B:B),
   "Before",
   IF(
      C173 &lt;= _xlfn.XLOOKUP(O173,'Campaign Metadata'!A:A,'Campaign Metadata'!C:C),
      "During",
      "After"
   )
 )</f>
        <v>Before</v>
      </c>
      <c r="E173" s="1" t="s">
        <v>16</v>
      </c>
      <c r="F173" s="1" t="s">
        <v>22</v>
      </c>
      <c r="G173" s="5">
        <v>4023</v>
      </c>
      <c r="H173" s="5">
        <v>293</v>
      </c>
      <c r="I173" s="5">
        <v>91</v>
      </c>
      <c r="J173" s="5">
        <v>26795</v>
      </c>
      <c r="K173" s="5">
        <v>28924</v>
      </c>
      <c r="L173" s="5">
        <v>278</v>
      </c>
      <c r="M173" s="6">
        <f t="shared" si="4"/>
        <v>0.16447098339242397</v>
      </c>
      <c r="N173" s="5">
        <f t="shared" si="5"/>
        <v>4407</v>
      </c>
      <c r="O173" s="1" t="s">
        <v>23</v>
      </c>
      <c r="P173" s="27" t="s">
        <v>24</v>
      </c>
      <c r="Q173" s="27" t="s">
        <v>35</v>
      </c>
    </row>
    <row r="174" spans="1:17" ht="15.75" customHeight="1">
      <c r="A174" s="1" t="s">
        <v>211</v>
      </c>
      <c r="B174" s="1" t="s">
        <v>15</v>
      </c>
      <c r="C174" s="4">
        <v>45447</v>
      </c>
      <c r="D174" s="4" t="str">
        <f>IF(
   C174 &lt; _xlfn.XLOOKUP(O174,'Campaign Metadata'!A:A,'Campaign Metadata'!B:B),
   "Before",
   IF(
      C174 &lt;= _xlfn.XLOOKUP(O174,'Campaign Metadata'!A:A,'Campaign Metadata'!C:C),
      "During",
      "After"
   )
 )</f>
        <v>Before</v>
      </c>
      <c r="E174" s="1" t="s">
        <v>16</v>
      </c>
      <c r="F174" s="1" t="s">
        <v>39</v>
      </c>
      <c r="G174" s="5">
        <v>3948</v>
      </c>
      <c r="H174" s="5">
        <v>151</v>
      </c>
      <c r="I174" s="5">
        <v>249</v>
      </c>
      <c r="J174" s="5">
        <v>43147</v>
      </c>
      <c r="K174" s="5">
        <v>63136</v>
      </c>
      <c r="L174" s="5">
        <v>230</v>
      </c>
      <c r="M174" s="6">
        <f t="shared" si="4"/>
        <v>0.10077178019329269</v>
      </c>
      <c r="N174" s="5">
        <f t="shared" si="5"/>
        <v>4348</v>
      </c>
      <c r="O174" s="1" t="s">
        <v>23</v>
      </c>
      <c r="P174" s="27" t="s">
        <v>24</v>
      </c>
      <c r="Q174" s="27"/>
    </row>
    <row r="175" spans="1:17" ht="15.75" customHeight="1">
      <c r="A175" s="1" t="s">
        <v>212</v>
      </c>
      <c r="B175" s="1" t="s">
        <v>33</v>
      </c>
      <c r="C175" s="4">
        <v>45749</v>
      </c>
      <c r="D175" s="4" t="str">
        <f>IF(
   C175 &lt; _xlfn.XLOOKUP(O175,'Campaign Metadata'!A:A,'Campaign Metadata'!B:B),
   "Before",
   IF(
      C175 &lt;= _xlfn.XLOOKUP(O175,'Campaign Metadata'!A:A,'Campaign Metadata'!C:C),
      "During",
      "After"
   )
 )</f>
        <v>After</v>
      </c>
      <c r="E175" s="1" t="s">
        <v>16</v>
      </c>
      <c r="F175" s="1" t="s">
        <v>31</v>
      </c>
      <c r="G175" s="5">
        <v>4598</v>
      </c>
      <c r="H175" s="5">
        <v>455</v>
      </c>
      <c r="I175" s="5">
        <v>378</v>
      </c>
      <c r="J175" s="5">
        <v>52952</v>
      </c>
      <c r="K175" s="5">
        <v>58504</v>
      </c>
      <c r="L175" s="5">
        <v>269</v>
      </c>
      <c r="M175" s="6">
        <f t="shared" si="4"/>
        <v>0.10256458679558846</v>
      </c>
      <c r="N175" s="5">
        <f t="shared" si="5"/>
        <v>5431</v>
      </c>
      <c r="O175" s="1" t="s">
        <v>23</v>
      </c>
      <c r="P175" s="27" t="s">
        <v>24</v>
      </c>
      <c r="Q175" s="27" t="s">
        <v>35</v>
      </c>
    </row>
    <row r="176" spans="1:17" ht="15.75" customHeight="1">
      <c r="A176" s="1" t="s">
        <v>213</v>
      </c>
      <c r="B176" s="1" t="s">
        <v>26</v>
      </c>
      <c r="C176" s="4">
        <v>45748</v>
      </c>
      <c r="D176" s="4" t="str">
        <f>IF(
   C176 &lt; _xlfn.XLOOKUP(O176,'Campaign Metadata'!A:A,'Campaign Metadata'!B:B),
   "Before",
   IF(
      C176 &lt;= _xlfn.XLOOKUP(O176,'Campaign Metadata'!A:A,'Campaign Metadata'!C:C),
      "During",
      "After"
   )
 )</f>
        <v>After</v>
      </c>
      <c r="E176" s="1" t="s">
        <v>27</v>
      </c>
      <c r="F176" s="1" t="s">
        <v>34</v>
      </c>
      <c r="G176" s="5">
        <v>2665</v>
      </c>
      <c r="H176" s="5">
        <v>143</v>
      </c>
      <c r="I176" s="5">
        <v>315</v>
      </c>
      <c r="J176" s="5">
        <v>54808</v>
      </c>
      <c r="K176" s="5">
        <v>29818</v>
      </c>
      <c r="L176" s="5">
        <v>98</v>
      </c>
      <c r="M176" s="6">
        <f t="shared" si="4"/>
        <v>5.6980732739746021E-2</v>
      </c>
      <c r="N176" s="5">
        <f t="shared" si="5"/>
        <v>3123</v>
      </c>
      <c r="O176" s="1" t="s">
        <v>18</v>
      </c>
      <c r="P176" s="27" t="s">
        <v>24</v>
      </c>
      <c r="Q176" s="27" t="s">
        <v>29</v>
      </c>
    </row>
    <row r="177" spans="1:17" ht="15.75" customHeight="1">
      <c r="A177" s="1" t="s">
        <v>214</v>
      </c>
      <c r="B177" s="1" t="s">
        <v>15</v>
      </c>
      <c r="C177" s="4">
        <v>45475</v>
      </c>
      <c r="D177" s="4" t="str">
        <f>IF(
   C177 &lt; _xlfn.XLOOKUP(O177,'Campaign Metadata'!A:A,'Campaign Metadata'!B:B),
   "Before",
   IF(
      C177 &lt;= _xlfn.XLOOKUP(O177,'Campaign Metadata'!A:A,'Campaign Metadata'!C:C),
      "During",
      "After"
   )
 )</f>
        <v>Before</v>
      </c>
      <c r="E177" s="1" t="s">
        <v>16</v>
      </c>
      <c r="F177" s="1" t="s">
        <v>42</v>
      </c>
      <c r="G177" s="5">
        <v>3469</v>
      </c>
      <c r="H177" s="5">
        <v>371</v>
      </c>
      <c r="I177" s="5">
        <v>76</v>
      </c>
      <c r="J177" s="5">
        <v>46493</v>
      </c>
      <c r="K177" s="5">
        <v>26906</v>
      </c>
      <c r="L177" s="5">
        <v>150</v>
      </c>
      <c r="M177" s="6">
        <f t="shared" si="4"/>
        <v>8.4227733207149463E-2</v>
      </c>
      <c r="N177" s="5">
        <f t="shared" si="5"/>
        <v>3916</v>
      </c>
      <c r="O177" s="1" t="s">
        <v>18</v>
      </c>
      <c r="P177" s="27" t="s">
        <v>19</v>
      </c>
      <c r="Q177" s="27" t="s">
        <v>20</v>
      </c>
    </row>
    <row r="178" spans="1:17" ht="15.75" customHeight="1">
      <c r="A178" s="1" t="s">
        <v>215</v>
      </c>
      <c r="B178" s="1" t="s">
        <v>26</v>
      </c>
      <c r="C178" s="4">
        <v>45606</v>
      </c>
      <c r="D178" s="4" t="str">
        <f>IF(
   C178 &lt; _xlfn.XLOOKUP(O178,'Campaign Metadata'!A:A,'Campaign Metadata'!B:B),
   "Before",
   IF(
      C178 &lt;= _xlfn.XLOOKUP(O178,'Campaign Metadata'!A:A,'Campaign Metadata'!C:C),
      "During",
      "After"
   )
 )</f>
        <v>Before</v>
      </c>
      <c r="E178" s="1" t="s">
        <v>16</v>
      </c>
      <c r="F178" s="1" t="s">
        <v>22</v>
      </c>
      <c r="G178" s="5">
        <v>4823</v>
      </c>
      <c r="H178" s="5">
        <v>489</v>
      </c>
      <c r="I178" s="5">
        <v>302</v>
      </c>
      <c r="J178" s="5">
        <v>32470</v>
      </c>
      <c r="K178" s="5">
        <v>31861</v>
      </c>
      <c r="L178" s="5">
        <v>178</v>
      </c>
      <c r="M178" s="6">
        <f t="shared" si="4"/>
        <v>0.1728980597474592</v>
      </c>
      <c r="N178" s="5">
        <f t="shared" si="5"/>
        <v>5614</v>
      </c>
      <c r="O178" s="1" t="s">
        <v>23</v>
      </c>
      <c r="P178" s="27" t="s">
        <v>19</v>
      </c>
      <c r="Q178" s="27"/>
    </row>
    <row r="179" spans="1:17" ht="15.75" customHeight="1">
      <c r="A179" s="1" t="s">
        <v>216</v>
      </c>
      <c r="B179" s="1" t="s">
        <v>15</v>
      </c>
      <c r="C179" s="4">
        <v>45640</v>
      </c>
      <c r="D179" s="4" t="str">
        <f>IF(
   C179 &lt; _xlfn.XLOOKUP(O179,'Campaign Metadata'!A:A,'Campaign Metadata'!B:B),
   "Before",
   IF(
      C179 &lt;= _xlfn.XLOOKUP(O179,'Campaign Metadata'!A:A,'Campaign Metadata'!C:C),
      "During",
      "After"
   )
 )</f>
        <v>During</v>
      </c>
      <c r="E179" s="1" t="s">
        <v>27</v>
      </c>
      <c r="F179" s="1" t="s">
        <v>48</v>
      </c>
      <c r="G179" s="5">
        <v>3812</v>
      </c>
      <c r="H179" s="5">
        <v>321</v>
      </c>
      <c r="I179" s="5">
        <v>289</v>
      </c>
      <c r="J179" s="5">
        <v>59838</v>
      </c>
      <c r="K179" s="5">
        <v>36337</v>
      </c>
      <c r="L179" s="5">
        <v>161</v>
      </c>
      <c r="M179" s="6">
        <f t="shared" si="4"/>
        <v>7.3899528727564417E-2</v>
      </c>
      <c r="N179" s="5">
        <f t="shared" si="5"/>
        <v>4422</v>
      </c>
      <c r="O179" s="1" t="s">
        <v>54</v>
      </c>
      <c r="P179" s="27" t="s">
        <v>20</v>
      </c>
      <c r="Q179" s="27"/>
    </row>
    <row r="180" spans="1:17" ht="15.75" customHeight="1">
      <c r="A180" s="1" t="s">
        <v>217</v>
      </c>
      <c r="B180" s="1" t="s">
        <v>26</v>
      </c>
      <c r="C180" s="4">
        <v>45615</v>
      </c>
      <c r="D180" s="4" t="str">
        <f>IF(
   C180 &lt; _xlfn.XLOOKUP(O180,'Campaign Metadata'!A:A,'Campaign Metadata'!B:B),
   "Before",
   IF(
      C180 &lt;= _xlfn.XLOOKUP(O180,'Campaign Metadata'!A:A,'Campaign Metadata'!C:C),
      "During",
      "After"
   )
 )</f>
        <v>Before</v>
      </c>
      <c r="E180" s="1" t="s">
        <v>16</v>
      </c>
      <c r="F180" s="1" t="s">
        <v>22</v>
      </c>
      <c r="G180" s="5">
        <v>2387</v>
      </c>
      <c r="H180" s="5">
        <v>353</v>
      </c>
      <c r="I180" s="5">
        <v>78</v>
      </c>
      <c r="J180" s="5">
        <v>39745</v>
      </c>
      <c r="K180" s="5">
        <v>69226</v>
      </c>
      <c r="L180" s="5">
        <v>208</v>
      </c>
      <c r="M180" s="6">
        <f t="shared" si="4"/>
        <v>7.090200025160398E-2</v>
      </c>
      <c r="N180" s="5">
        <f t="shared" si="5"/>
        <v>2818</v>
      </c>
      <c r="O180" s="1" t="s">
        <v>23</v>
      </c>
      <c r="P180" s="27" t="s">
        <v>19</v>
      </c>
      <c r="Q180" s="27"/>
    </row>
    <row r="181" spans="1:17" ht="15.75" customHeight="1">
      <c r="A181" s="1" t="s">
        <v>218</v>
      </c>
      <c r="B181" s="1" t="s">
        <v>26</v>
      </c>
      <c r="C181" s="4">
        <v>45777</v>
      </c>
      <c r="D181" s="4" t="str">
        <f>IF(
   C181 &lt; _xlfn.XLOOKUP(O181,'Campaign Metadata'!A:A,'Campaign Metadata'!B:B),
   "Before",
   IF(
      C181 &lt;= _xlfn.XLOOKUP(O181,'Campaign Metadata'!A:A,'Campaign Metadata'!C:C),
      "During",
      "After"
   )
 )</f>
        <v>After</v>
      </c>
      <c r="E181" s="1" t="s">
        <v>27</v>
      </c>
      <c r="F181" s="1" t="s">
        <v>31</v>
      </c>
      <c r="G181" s="5">
        <v>3929</v>
      </c>
      <c r="H181" s="5">
        <v>275</v>
      </c>
      <c r="I181" s="5">
        <v>330</v>
      </c>
      <c r="J181" s="5">
        <v>58329</v>
      </c>
      <c r="K181" s="5">
        <v>33196</v>
      </c>
      <c r="L181" s="5">
        <v>85</v>
      </c>
      <c r="M181" s="6">
        <f t="shared" si="4"/>
        <v>7.7731488624869283E-2</v>
      </c>
      <c r="N181" s="5">
        <f t="shared" si="5"/>
        <v>4534</v>
      </c>
      <c r="O181" s="1" t="s">
        <v>18</v>
      </c>
      <c r="P181" s="27" t="s">
        <v>29</v>
      </c>
      <c r="Q181" s="27" t="s">
        <v>20</v>
      </c>
    </row>
    <row r="182" spans="1:17" ht="15.75" customHeight="1">
      <c r="A182" s="1" t="s">
        <v>219</v>
      </c>
      <c r="B182" s="1" t="s">
        <v>26</v>
      </c>
      <c r="C182" s="4">
        <v>45370</v>
      </c>
      <c r="D182" s="4" t="str">
        <f>IF(
   C182 &lt; _xlfn.XLOOKUP(O182,'Campaign Metadata'!A:A,'Campaign Metadata'!B:B),
   "Before",
   IF(
      C182 &lt;= _xlfn.XLOOKUP(O182,'Campaign Metadata'!A:A,'Campaign Metadata'!C:C),
      "During",
      "After"
   )
 )</f>
        <v>Before</v>
      </c>
      <c r="E182" s="1" t="s">
        <v>16</v>
      </c>
      <c r="F182" s="1" t="s">
        <v>48</v>
      </c>
      <c r="G182" s="5">
        <v>2191</v>
      </c>
      <c r="H182" s="5">
        <v>288</v>
      </c>
      <c r="I182" s="5">
        <v>83</v>
      </c>
      <c r="J182" s="5">
        <v>59606</v>
      </c>
      <c r="K182" s="5">
        <v>24765</v>
      </c>
      <c r="L182" s="5">
        <v>281</v>
      </c>
      <c r="M182" s="6">
        <f t="shared" si="4"/>
        <v>4.2982250109049422E-2</v>
      </c>
      <c r="N182" s="5">
        <f t="shared" si="5"/>
        <v>2562</v>
      </c>
      <c r="O182" s="1" t="s">
        <v>23</v>
      </c>
      <c r="P182" s="27" t="s">
        <v>19</v>
      </c>
      <c r="Q182" s="27"/>
    </row>
    <row r="183" spans="1:17" ht="15.75" customHeight="1">
      <c r="A183" s="1" t="s">
        <v>220</v>
      </c>
      <c r="B183" s="1" t="s">
        <v>15</v>
      </c>
      <c r="C183" s="4">
        <v>45370</v>
      </c>
      <c r="D183" s="4" t="str">
        <f>IF(
   C183 &lt; _xlfn.XLOOKUP(O183,'Campaign Metadata'!A:A,'Campaign Metadata'!B:B),
   "Before",
   IF(
      C183 &lt;= _xlfn.XLOOKUP(O183,'Campaign Metadata'!A:A,'Campaign Metadata'!C:C),
      "During",
      "After"
   )
 )</f>
        <v>Before</v>
      </c>
      <c r="E183" s="1" t="s">
        <v>16</v>
      </c>
      <c r="F183" s="1" t="s">
        <v>48</v>
      </c>
      <c r="G183" s="5">
        <v>2878</v>
      </c>
      <c r="H183" s="5">
        <v>278</v>
      </c>
      <c r="I183" s="5">
        <v>255</v>
      </c>
      <c r="J183" s="5">
        <v>47235</v>
      </c>
      <c r="K183" s="5">
        <v>57922</v>
      </c>
      <c r="L183" s="5">
        <v>112</v>
      </c>
      <c r="M183" s="6">
        <f t="shared" si="4"/>
        <v>7.2213401079707848E-2</v>
      </c>
      <c r="N183" s="5">
        <f t="shared" si="5"/>
        <v>3411</v>
      </c>
      <c r="O183" s="1" t="s">
        <v>18</v>
      </c>
      <c r="P183" s="27" t="s">
        <v>19</v>
      </c>
      <c r="Q183" s="27" t="s">
        <v>20</v>
      </c>
    </row>
    <row r="184" spans="1:17" ht="15.75" customHeight="1">
      <c r="A184" s="1" t="s">
        <v>221</v>
      </c>
      <c r="B184" s="1" t="s">
        <v>26</v>
      </c>
      <c r="C184" s="4">
        <v>45496</v>
      </c>
      <c r="D184" s="4" t="str">
        <f>IF(
   C184 &lt; _xlfn.XLOOKUP(O184,'Campaign Metadata'!A:A,'Campaign Metadata'!B:B),
   "Before",
   IF(
      C184 &lt;= _xlfn.XLOOKUP(O184,'Campaign Metadata'!A:A,'Campaign Metadata'!C:C),
      "During",
      "After"
   )
 )</f>
        <v>Before</v>
      </c>
      <c r="E184" s="1" t="s">
        <v>16</v>
      </c>
      <c r="F184" s="1" t="s">
        <v>42</v>
      </c>
      <c r="G184" s="5">
        <v>3204</v>
      </c>
      <c r="H184" s="5">
        <v>398</v>
      </c>
      <c r="I184" s="5">
        <v>85</v>
      </c>
      <c r="J184" s="5">
        <v>22020</v>
      </c>
      <c r="K184" s="5">
        <v>58353</v>
      </c>
      <c r="L184" s="5">
        <v>286</v>
      </c>
      <c r="M184" s="6">
        <f t="shared" si="4"/>
        <v>0.16743869209809265</v>
      </c>
      <c r="N184" s="5">
        <f t="shared" si="5"/>
        <v>3687</v>
      </c>
      <c r="O184" s="1" t="s">
        <v>23</v>
      </c>
      <c r="P184" s="27" t="s">
        <v>19</v>
      </c>
      <c r="Q184" s="27"/>
    </row>
    <row r="185" spans="1:17" ht="15.75" customHeight="1">
      <c r="A185" s="1" t="s">
        <v>222</v>
      </c>
      <c r="B185" s="1" t="s">
        <v>26</v>
      </c>
      <c r="C185" s="4">
        <v>45486</v>
      </c>
      <c r="D185" s="4" t="str">
        <f>IF(
   C185 &lt; _xlfn.XLOOKUP(O185,'Campaign Metadata'!A:A,'Campaign Metadata'!B:B),
   "Before",
   IF(
      C185 &lt;= _xlfn.XLOOKUP(O185,'Campaign Metadata'!A:A,'Campaign Metadata'!C:C),
      "During",
      "After"
   )
 )</f>
        <v>Before</v>
      </c>
      <c r="E185" s="1" t="s">
        <v>27</v>
      </c>
      <c r="F185" s="1" t="s">
        <v>39</v>
      </c>
      <c r="G185" s="5">
        <v>2408</v>
      </c>
      <c r="H185" s="5">
        <v>323</v>
      </c>
      <c r="I185" s="5">
        <v>251</v>
      </c>
      <c r="J185" s="5">
        <v>47599</v>
      </c>
      <c r="K185" s="5">
        <v>35543</v>
      </c>
      <c r="L185" s="5">
        <v>287</v>
      </c>
      <c r="M185" s="6">
        <f t="shared" si="4"/>
        <v>6.2648374965860634E-2</v>
      </c>
      <c r="N185" s="5">
        <f t="shared" si="5"/>
        <v>2982</v>
      </c>
      <c r="O185" s="1" t="s">
        <v>18</v>
      </c>
      <c r="P185" s="27" t="s">
        <v>29</v>
      </c>
      <c r="Q185" s="27" t="s">
        <v>20</v>
      </c>
    </row>
    <row r="186" spans="1:17" ht="15.75" customHeight="1">
      <c r="A186" s="1" t="s">
        <v>223</v>
      </c>
      <c r="B186" s="1" t="s">
        <v>33</v>
      </c>
      <c r="C186" s="4">
        <v>45769</v>
      </c>
      <c r="D186" s="4" t="str">
        <f>IF(
   C186 &lt; _xlfn.XLOOKUP(O186,'Campaign Metadata'!A:A,'Campaign Metadata'!B:B),
   "Before",
   IF(
      C186 &lt;= _xlfn.XLOOKUP(O186,'Campaign Metadata'!A:A,'Campaign Metadata'!C:C),
      "During",
      "After"
   )
 )</f>
        <v>After</v>
      </c>
      <c r="E186" s="1" t="s">
        <v>56</v>
      </c>
      <c r="F186" s="1" t="s">
        <v>28</v>
      </c>
      <c r="G186" s="5">
        <v>2733</v>
      </c>
      <c r="H186" s="5">
        <v>297</v>
      </c>
      <c r="I186" s="5">
        <v>235</v>
      </c>
      <c r="J186" s="5">
        <v>37980</v>
      </c>
      <c r="K186" s="5">
        <v>33058</v>
      </c>
      <c r="L186" s="5">
        <v>219</v>
      </c>
      <c r="M186" s="6">
        <f t="shared" si="4"/>
        <v>8.5966298051606105E-2</v>
      </c>
      <c r="N186" s="5">
        <f t="shared" si="5"/>
        <v>3265</v>
      </c>
      <c r="O186" s="1" t="s">
        <v>57</v>
      </c>
      <c r="P186" s="27" t="s">
        <v>24</v>
      </c>
      <c r="Q186" s="27" t="s">
        <v>19</v>
      </c>
    </row>
    <row r="187" spans="1:17" ht="15.75" customHeight="1">
      <c r="A187" s="1" t="s">
        <v>224</v>
      </c>
      <c r="B187" s="1" t="s">
        <v>26</v>
      </c>
      <c r="C187" s="4">
        <v>45459</v>
      </c>
      <c r="D187" s="4" t="str">
        <f>IF(
   C187 &lt; _xlfn.XLOOKUP(O187,'Campaign Metadata'!A:A,'Campaign Metadata'!B:B),
   "Before",
   IF(
      C187 &lt;= _xlfn.XLOOKUP(O187,'Campaign Metadata'!A:A,'Campaign Metadata'!C:C),
      "During",
      "After"
   )
 )</f>
        <v>Before</v>
      </c>
      <c r="E187" s="1" t="s">
        <v>27</v>
      </c>
      <c r="F187" s="1" t="s">
        <v>22</v>
      </c>
      <c r="G187" s="5">
        <v>4618</v>
      </c>
      <c r="H187" s="5">
        <v>312</v>
      </c>
      <c r="I187" s="5">
        <v>254</v>
      </c>
      <c r="J187" s="5">
        <v>22571</v>
      </c>
      <c r="K187" s="5">
        <v>29453</v>
      </c>
      <c r="L187" s="5">
        <v>197</v>
      </c>
      <c r="M187" s="6">
        <f t="shared" si="4"/>
        <v>0.22967524699836073</v>
      </c>
      <c r="N187" s="5">
        <f t="shared" si="5"/>
        <v>5184</v>
      </c>
      <c r="O187" s="1" t="s">
        <v>18</v>
      </c>
      <c r="P187" s="27" t="s">
        <v>29</v>
      </c>
      <c r="Q187" s="27" t="s">
        <v>20</v>
      </c>
    </row>
    <row r="188" spans="1:17" ht="15.75" customHeight="1">
      <c r="A188" s="1" t="s">
        <v>225</v>
      </c>
      <c r="B188" s="1" t="s">
        <v>33</v>
      </c>
      <c r="C188" s="4">
        <v>45795</v>
      </c>
      <c r="D188" s="4" t="str">
        <f>IF(
   C188 &lt; _xlfn.XLOOKUP(O188,'Campaign Metadata'!A:A,'Campaign Metadata'!B:B),
   "Before",
   IF(
      C188 &lt;= _xlfn.XLOOKUP(O188,'Campaign Metadata'!A:A,'Campaign Metadata'!C:C),
      "During",
      "After"
   )
 )</f>
        <v>After</v>
      </c>
      <c r="E188" s="1" t="s">
        <v>56</v>
      </c>
      <c r="F188" s="1" t="s">
        <v>31</v>
      </c>
      <c r="G188" s="5">
        <v>4210</v>
      </c>
      <c r="H188" s="5">
        <v>319</v>
      </c>
      <c r="I188" s="5">
        <v>350</v>
      </c>
      <c r="J188" s="5">
        <v>37762</v>
      </c>
      <c r="K188" s="5">
        <v>55162</v>
      </c>
      <c r="L188" s="5">
        <v>204</v>
      </c>
      <c r="M188" s="6">
        <f t="shared" si="4"/>
        <v>0.12920396165457337</v>
      </c>
      <c r="N188" s="5">
        <f t="shared" si="5"/>
        <v>4879</v>
      </c>
      <c r="O188" s="1" t="s">
        <v>57</v>
      </c>
      <c r="P188" s="27" t="s">
        <v>24</v>
      </c>
      <c r="Q188" s="27" t="s">
        <v>19</v>
      </c>
    </row>
    <row r="189" spans="1:17" ht="15.75" customHeight="1">
      <c r="A189" s="1" t="s">
        <v>226</v>
      </c>
      <c r="B189" s="1" t="s">
        <v>15</v>
      </c>
      <c r="C189" s="4">
        <v>45814</v>
      </c>
      <c r="D189" s="4" t="str">
        <f>IF(
   C189 &lt; _xlfn.XLOOKUP(O189,'Campaign Metadata'!A:A,'Campaign Metadata'!B:B),
   "Before",
   IF(
      C189 &lt;= _xlfn.XLOOKUP(O189,'Campaign Metadata'!A:A,'Campaign Metadata'!C:C),
      "During",
      "After"
   )
 )</f>
        <v>After</v>
      </c>
      <c r="E189" s="1" t="s">
        <v>16</v>
      </c>
      <c r="F189" s="1" t="s">
        <v>31</v>
      </c>
      <c r="G189" s="5">
        <v>3987</v>
      </c>
      <c r="H189" s="5">
        <v>171</v>
      </c>
      <c r="I189" s="5">
        <v>274</v>
      </c>
      <c r="J189" s="5">
        <v>45122</v>
      </c>
      <c r="K189" s="5">
        <v>65431</v>
      </c>
      <c r="L189" s="5">
        <v>168</v>
      </c>
      <c r="M189" s="6">
        <f t="shared" si="4"/>
        <v>9.8222596516111871E-2</v>
      </c>
      <c r="N189" s="5">
        <f t="shared" si="5"/>
        <v>4432</v>
      </c>
      <c r="O189" s="1" t="s">
        <v>23</v>
      </c>
      <c r="P189" s="27" t="s">
        <v>24</v>
      </c>
      <c r="Q189" s="27"/>
    </row>
    <row r="190" spans="1:17" ht="15.75" customHeight="1">
      <c r="A190" s="1" t="s">
        <v>227</v>
      </c>
      <c r="B190" s="1" t="s">
        <v>33</v>
      </c>
      <c r="C190" s="4">
        <v>45708</v>
      </c>
      <c r="D190" s="4" t="str">
        <f>IF(
   C190 &lt; _xlfn.XLOOKUP(O190,'Campaign Metadata'!A:A,'Campaign Metadata'!B:B),
   "Before",
   IF(
      C190 &lt;= _xlfn.XLOOKUP(O190,'Campaign Metadata'!A:A,'Campaign Metadata'!C:C),
      "During",
      "After"
   )
 )</f>
        <v>After</v>
      </c>
      <c r="E190" s="1" t="s">
        <v>56</v>
      </c>
      <c r="F190" s="1" t="s">
        <v>39</v>
      </c>
      <c r="G190" s="5">
        <v>4957</v>
      </c>
      <c r="H190" s="5">
        <v>262</v>
      </c>
      <c r="I190" s="5">
        <v>365</v>
      </c>
      <c r="J190" s="5">
        <v>49199</v>
      </c>
      <c r="K190" s="5">
        <v>40314</v>
      </c>
      <c r="L190" s="5">
        <v>216</v>
      </c>
      <c r="M190" s="6">
        <f t="shared" si="4"/>
        <v>0.11349824183418362</v>
      </c>
      <c r="N190" s="5">
        <f t="shared" si="5"/>
        <v>5584</v>
      </c>
      <c r="O190" s="1" t="s">
        <v>57</v>
      </c>
      <c r="P190" s="27" t="s">
        <v>24</v>
      </c>
      <c r="Q190" s="27" t="s">
        <v>19</v>
      </c>
    </row>
    <row r="191" spans="1:17" ht="15.75" customHeight="1">
      <c r="A191" s="1" t="s">
        <v>228</v>
      </c>
      <c r="B191" s="1" t="s">
        <v>15</v>
      </c>
      <c r="C191" s="4">
        <v>45673</v>
      </c>
      <c r="D191" s="4" t="str">
        <f>IF(
   C191 &lt; _xlfn.XLOOKUP(O191,'Campaign Metadata'!A:A,'Campaign Metadata'!B:B),
   "Before",
   IF(
      C191 &lt;= _xlfn.XLOOKUP(O191,'Campaign Metadata'!A:A,'Campaign Metadata'!C:C),
      "During",
      "After"
   )
 )</f>
        <v>During</v>
      </c>
      <c r="E191" s="1" t="s">
        <v>16</v>
      </c>
      <c r="F191" s="1" t="s">
        <v>34</v>
      </c>
      <c r="G191" s="5">
        <v>2605</v>
      </c>
      <c r="H191" s="5">
        <v>282</v>
      </c>
      <c r="I191" s="5">
        <v>148</v>
      </c>
      <c r="J191" s="5">
        <v>32201</v>
      </c>
      <c r="K191" s="5">
        <v>49583</v>
      </c>
      <c r="L191" s="5">
        <v>241</v>
      </c>
      <c r="M191" s="6">
        <f t="shared" si="4"/>
        <v>9.4251731312692155E-2</v>
      </c>
      <c r="N191" s="5">
        <f t="shared" si="5"/>
        <v>3035</v>
      </c>
      <c r="O191" s="1" t="s">
        <v>18</v>
      </c>
      <c r="P191" s="27" t="s">
        <v>19</v>
      </c>
      <c r="Q191" s="27" t="s">
        <v>20</v>
      </c>
    </row>
    <row r="192" spans="1:17" ht="15.75" customHeight="1">
      <c r="A192" s="1" t="s">
        <v>229</v>
      </c>
      <c r="B192" s="1" t="s">
        <v>33</v>
      </c>
      <c r="C192" s="4">
        <v>45346</v>
      </c>
      <c r="D192" s="4" t="str">
        <f>IF(
   C192 &lt; _xlfn.XLOOKUP(O192,'Campaign Metadata'!A:A,'Campaign Metadata'!B:B),
   "Before",
   IF(
      C192 &lt;= _xlfn.XLOOKUP(O192,'Campaign Metadata'!A:A,'Campaign Metadata'!C:C),
      "During",
      "After"
   )
 )</f>
        <v>Before</v>
      </c>
      <c r="E192" s="1" t="s">
        <v>56</v>
      </c>
      <c r="F192" s="1" t="s">
        <v>17</v>
      </c>
      <c r="G192" s="5">
        <v>4221</v>
      </c>
      <c r="H192" s="5">
        <v>307</v>
      </c>
      <c r="I192" s="5">
        <v>58</v>
      </c>
      <c r="J192" s="5">
        <v>45080</v>
      </c>
      <c r="K192" s="5">
        <v>37214</v>
      </c>
      <c r="L192" s="5">
        <v>240</v>
      </c>
      <c r="M192" s="6">
        <f t="shared" si="4"/>
        <v>0.10173025732031943</v>
      </c>
      <c r="N192" s="5">
        <f t="shared" si="5"/>
        <v>4586</v>
      </c>
      <c r="O192" s="1" t="s">
        <v>57</v>
      </c>
      <c r="P192" s="27" t="s">
        <v>24</v>
      </c>
      <c r="Q192" s="27" t="s">
        <v>19</v>
      </c>
    </row>
    <row r="193" spans="1:17" ht="15.75" customHeight="1">
      <c r="A193" s="1" t="s">
        <v>230</v>
      </c>
      <c r="B193" s="1" t="s">
        <v>26</v>
      </c>
      <c r="C193" s="4">
        <v>45551</v>
      </c>
      <c r="D193" s="4" t="str">
        <f>IF(
   C193 &lt; _xlfn.XLOOKUP(O193,'Campaign Metadata'!A:A,'Campaign Metadata'!B:B),
   "Before",
   IF(
      C193 &lt;= _xlfn.XLOOKUP(O193,'Campaign Metadata'!A:A,'Campaign Metadata'!C:C),
      "During",
      "After"
   )
 )</f>
        <v>Before</v>
      </c>
      <c r="E193" s="1" t="s">
        <v>27</v>
      </c>
      <c r="F193" s="1" t="s">
        <v>37</v>
      </c>
      <c r="G193" s="5">
        <v>4422</v>
      </c>
      <c r="H193" s="5">
        <v>434</v>
      </c>
      <c r="I193" s="5">
        <v>156</v>
      </c>
      <c r="J193" s="5">
        <v>56165</v>
      </c>
      <c r="K193" s="5">
        <v>52431</v>
      </c>
      <c r="L193" s="5">
        <v>173</v>
      </c>
      <c r="M193" s="6">
        <f t="shared" si="4"/>
        <v>8.9237069349238848E-2</v>
      </c>
      <c r="N193" s="5">
        <f t="shared" si="5"/>
        <v>5012</v>
      </c>
      <c r="O193" s="1" t="s">
        <v>18</v>
      </c>
      <c r="P193" s="27" t="s">
        <v>24</v>
      </c>
      <c r="Q193" s="27" t="s">
        <v>29</v>
      </c>
    </row>
    <row r="194" spans="1:17" ht="15.75" customHeight="1">
      <c r="A194" s="1" t="s">
        <v>231</v>
      </c>
      <c r="B194" s="1" t="s">
        <v>33</v>
      </c>
      <c r="C194" s="4">
        <v>45447</v>
      </c>
      <c r="D194" s="4" t="str">
        <f>IF(
   C194 &lt; _xlfn.XLOOKUP(O194,'Campaign Metadata'!A:A,'Campaign Metadata'!B:B),
   "Before",
   IF(
      C194 &lt;= _xlfn.XLOOKUP(O194,'Campaign Metadata'!A:A,'Campaign Metadata'!C:C),
      "During",
      "After"
   )
 )</f>
        <v>Before</v>
      </c>
      <c r="E194" s="1" t="s">
        <v>56</v>
      </c>
      <c r="F194" s="1" t="s">
        <v>31</v>
      </c>
      <c r="G194" s="5">
        <v>1211</v>
      </c>
      <c r="H194" s="5">
        <v>431</v>
      </c>
      <c r="I194" s="5">
        <v>83</v>
      </c>
      <c r="J194" s="5">
        <v>26532</v>
      </c>
      <c r="K194" s="5">
        <v>47305</v>
      </c>
      <c r="L194" s="5">
        <v>232</v>
      </c>
      <c r="M194" s="6">
        <f t="shared" si="4"/>
        <v>6.5015829941203071E-2</v>
      </c>
      <c r="N194" s="5">
        <f t="shared" si="5"/>
        <v>1725</v>
      </c>
      <c r="O194" s="1" t="s">
        <v>57</v>
      </c>
      <c r="P194" s="27" t="s">
        <v>24</v>
      </c>
      <c r="Q194" s="27" t="s">
        <v>19</v>
      </c>
    </row>
    <row r="195" spans="1:17" ht="15.75" customHeight="1">
      <c r="A195" s="1" t="s">
        <v>232</v>
      </c>
      <c r="B195" s="1" t="s">
        <v>26</v>
      </c>
      <c r="C195" s="4">
        <v>45422</v>
      </c>
      <c r="D195" s="4" t="str">
        <f>IF(
   C195 &lt; _xlfn.XLOOKUP(O195,'Campaign Metadata'!A:A,'Campaign Metadata'!B:B),
   "Before",
   IF(
      C195 &lt;= _xlfn.XLOOKUP(O195,'Campaign Metadata'!A:A,'Campaign Metadata'!C:C),
      "During",
      "After"
   )
 )</f>
        <v>Before</v>
      </c>
      <c r="E195" s="1" t="s">
        <v>27</v>
      </c>
      <c r="F195" s="1" t="s">
        <v>22</v>
      </c>
      <c r="G195" s="5">
        <v>2784</v>
      </c>
      <c r="H195" s="5">
        <v>111</v>
      </c>
      <c r="I195" s="5">
        <v>399</v>
      </c>
      <c r="J195" s="5">
        <v>58366</v>
      </c>
      <c r="K195" s="5">
        <v>69512</v>
      </c>
      <c r="L195" s="5">
        <v>269</v>
      </c>
      <c r="M195" s="6">
        <f t="shared" ref="M195:M258" si="6" xml:space="preserve"> (G195 +I195 +H195) / J195</f>
        <v>5.6436966727204191E-2</v>
      </c>
      <c r="N195" s="5">
        <f t="shared" ref="N195:N258" si="7" xml:space="preserve"> G195+H195+I195</f>
        <v>3294</v>
      </c>
      <c r="O195" s="1" t="s">
        <v>18</v>
      </c>
      <c r="P195" s="27" t="s">
        <v>29</v>
      </c>
      <c r="Q195" s="27" t="s">
        <v>20</v>
      </c>
    </row>
    <row r="196" spans="1:17" ht="15.75" customHeight="1">
      <c r="A196" s="1" t="s">
        <v>233</v>
      </c>
      <c r="B196" s="1" t="s">
        <v>33</v>
      </c>
      <c r="C196" s="4">
        <v>45305</v>
      </c>
      <c r="D196" s="4" t="str">
        <f>IF(
   C196 &lt; _xlfn.XLOOKUP(O196,'Campaign Metadata'!A:A,'Campaign Metadata'!B:B),
   "Before",
   IF(
      C196 &lt;= _xlfn.XLOOKUP(O196,'Campaign Metadata'!A:A,'Campaign Metadata'!C:C),
      "During",
      "After"
   )
 )</f>
        <v>Before</v>
      </c>
      <c r="E196" s="1" t="s">
        <v>16</v>
      </c>
      <c r="F196" s="1" t="s">
        <v>28</v>
      </c>
      <c r="G196" s="5">
        <v>3634</v>
      </c>
      <c r="H196" s="5">
        <v>280</v>
      </c>
      <c r="I196" s="5">
        <v>399</v>
      </c>
      <c r="J196" s="5">
        <v>40256</v>
      </c>
      <c r="K196" s="5">
        <v>52605</v>
      </c>
      <c r="L196" s="5">
        <v>213</v>
      </c>
      <c r="M196" s="6">
        <f t="shared" si="6"/>
        <v>0.10713930842607314</v>
      </c>
      <c r="N196" s="5">
        <f t="shared" si="7"/>
        <v>4313</v>
      </c>
      <c r="O196" s="1" t="s">
        <v>23</v>
      </c>
      <c r="P196" s="27" t="s">
        <v>24</v>
      </c>
      <c r="Q196" s="27" t="s">
        <v>35</v>
      </c>
    </row>
    <row r="197" spans="1:17" ht="15.75" customHeight="1">
      <c r="A197" s="1" t="s">
        <v>234</v>
      </c>
      <c r="B197" s="1" t="s">
        <v>15</v>
      </c>
      <c r="C197" s="4">
        <v>45669</v>
      </c>
      <c r="D197" s="4" t="str">
        <f>IF(
   C197 &lt; _xlfn.XLOOKUP(O197,'Campaign Metadata'!A:A,'Campaign Metadata'!B:B),
   "Before",
   IF(
      C197 &lt;= _xlfn.XLOOKUP(O197,'Campaign Metadata'!A:A,'Campaign Metadata'!C:C),
      "During",
      "After"
   )
 )</f>
        <v>During</v>
      </c>
      <c r="E197" s="1" t="s">
        <v>16</v>
      </c>
      <c r="F197" s="1" t="s">
        <v>48</v>
      </c>
      <c r="G197" s="5">
        <v>1771</v>
      </c>
      <c r="H197" s="5">
        <v>487</v>
      </c>
      <c r="I197" s="5">
        <v>272</v>
      </c>
      <c r="J197" s="5">
        <v>48810</v>
      </c>
      <c r="K197" s="5">
        <v>48084</v>
      </c>
      <c r="L197" s="5">
        <v>272</v>
      </c>
      <c r="M197" s="6">
        <f t="shared" si="6"/>
        <v>5.1833640647408315E-2</v>
      </c>
      <c r="N197" s="5">
        <f t="shared" si="7"/>
        <v>2530</v>
      </c>
      <c r="O197" s="1" t="s">
        <v>18</v>
      </c>
      <c r="P197" s="27" t="s">
        <v>19</v>
      </c>
      <c r="Q197" s="27" t="s">
        <v>20</v>
      </c>
    </row>
    <row r="198" spans="1:17" ht="15.75" customHeight="1">
      <c r="A198" s="1" t="s">
        <v>235</v>
      </c>
      <c r="B198" s="1" t="s">
        <v>33</v>
      </c>
      <c r="C198" s="4">
        <v>45634</v>
      </c>
      <c r="D198" s="4" t="str">
        <f>IF(
   C198 &lt; _xlfn.XLOOKUP(O198,'Campaign Metadata'!A:A,'Campaign Metadata'!B:B),
   "Before",
   IF(
      C198 &lt;= _xlfn.XLOOKUP(O198,'Campaign Metadata'!A:A,'Campaign Metadata'!C:C),
      "During",
      "After"
   )
 )</f>
        <v>Before</v>
      </c>
      <c r="E198" s="1" t="s">
        <v>16</v>
      </c>
      <c r="F198" s="1" t="s">
        <v>42</v>
      </c>
      <c r="G198" s="5">
        <v>1424</v>
      </c>
      <c r="H198" s="5">
        <v>396</v>
      </c>
      <c r="I198" s="5">
        <v>312</v>
      </c>
      <c r="J198" s="5">
        <v>59517</v>
      </c>
      <c r="K198" s="5">
        <v>46102</v>
      </c>
      <c r="L198" s="5">
        <v>239</v>
      </c>
      <c r="M198" s="6">
        <f t="shared" si="6"/>
        <v>3.5821698002251455E-2</v>
      </c>
      <c r="N198" s="5">
        <f t="shared" si="7"/>
        <v>2132</v>
      </c>
      <c r="O198" s="1" t="s">
        <v>23</v>
      </c>
      <c r="P198" s="27" t="s">
        <v>24</v>
      </c>
      <c r="Q198" s="27" t="s">
        <v>35</v>
      </c>
    </row>
    <row r="199" spans="1:17" ht="15.75" customHeight="1">
      <c r="A199" s="1" t="s">
        <v>236</v>
      </c>
      <c r="B199" s="1" t="s">
        <v>26</v>
      </c>
      <c r="C199" s="4">
        <v>45689</v>
      </c>
      <c r="D199" s="4" t="str">
        <f>IF(
   C199 &lt; _xlfn.XLOOKUP(O199,'Campaign Metadata'!A:A,'Campaign Metadata'!B:B),
   "Before",
   IF(
      C199 &lt;= _xlfn.XLOOKUP(O199,'Campaign Metadata'!A:A,'Campaign Metadata'!C:C),
      "During",
      "After"
   )
 )</f>
        <v>During</v>
      </c>
      <c r="E199" s="1" t="s">
        <v>27</v>
      </c>
      <c r="F199" s="1" t="s">
        <v>42</v>
      </c>
      <c r="G199" s="5">
        <v>1079</v>
      </c>
      <c r="H199" s="5">
        <v>265</v>
      </c>
      <c r="I199" s="5">
        <v>190</v>
      </c>
      <c r="J199" s="5">
        <v>43786</v>
      </c>
      <c r="K199" s="5">
        <v>72428</v>
      </c>
      <c r="L199" s="5">
        <v>222</v>
      </c>
      <c r="M199" s="6">
        <f t="shared" si="6"/>
        <v>3.5034029141734799E-2</v>
      </c>
      <c r="N199" s="5">
        <f t="shared" si="7"/>
        <v>1534</v>
      </c>
      <c r="O199" s="1" t="s">
        <v>18</v>
      </c>
      <c r="P199" s="27" t="s">
        <v>19</v>
      </c>
      <c r="Q199" s="27" t="s">
        <v>20</v>
      </c>
    </row>
    <row r="200" spans="1:17" ht="15.75" customHeight="1">
      <c r="A200" s="1" t="s">
        <v>237</v>
      </c>
      <c r="B200" s="1" t="s">
        <v>26</v>
      </c>
      <c r="C200" s="4">
        <v>45484</v>
      </c>
      <c r="D200" s="4" t="str">
        <f>IF(
   C200 &lt; _xlfn.XLOOKUP(O200,'Campaign Metadata'!A:A,'Campaign Metadata'!B:B),
   "Before",
   IF(
      C200 &lt;= _xlfn.XLOOKUP(O200,'Campaign Metadata'!A:A,'Campaign Metadata'!C:C),
      "During",
      "After"
   )
 )</f>
        <v>Before</v>
      </c>
      <c r="E200" s="1" t="s">
        <v>27</v>
      </c>
      <c r="F200" s="1" t="s">
        <v>39</v>
      </c>
      <c r="G200" s="5">
        <v>4247</v>
      </c>
      <c r="H200" s="5">
        <v>179</v>
      </c>
      <c r="I200" s="5">
        <v>175</v>
      </c>
      <c r="J200" s="5">
        <v>32991</v>
      </c>
      <c r="K200" s="5">
        <v>70120</v>
      </c>
      <c r="L200" s="5">
        <v>276</v>
      </c>
      <c r="M200" s="6">
        <f t="shared" si="6"/>
        <v>0.13946227759085811</v>
      </c>
      <c r="N200" s="5">
        <f t="shared" si="7"/>
        <v>4601</v>
      </c>
      <c r="O200" s="1" t="s">
        <v>18</v>
      </c>
      <c r="P200" s="27" t="s">
        <v>19</v>
      </c>
      <c r="Q200" s="27" t="s">
        <v>20</v>
      </c>
    </row>
    <row r="201" spans="1:17" ht="15.75" customHeight="1">
      <c r="A201" s="1" t="s">
        <v>238</v>
      </c>
      <c r="B201" s="1" t="s">
        <v>26</v>
      </c>
      <c r="C201" s="4">
        <v>45369</v>
      </c>
      <c r="D201" s="4" t="str">
        <f>IF(
   C201 &lt; _xlfn.XLOOKUP(O201,'Campaign Metadata'!A:A,'Campaign Metadata'!B:B),
   "Before",
   IF(
      C201 &lt;= _xlfn.XLOOKUP(O201,'Campaign Metadata'!A:A,'Campaign Metadata'!C:C),
      "During",
      "After"
   )
 )</f>
        <v>Before</v>
      </c>
      <c r="E201" s="1" t="s">
        <v>16</v>
      </c>
      <c r="F201" s="1" t="s">
        <v>28</v>
      </c>
      <c r="G201" s="5">
        <v>2033</v>
      </c>
      <c r="H201" s="5">
        <v>420</v>
      </c>
      <c r="I201" s="5">
        <v>94</v>
      </c>
      <c r="J201" s="5">
        <v>56290</v>
      </c>
      <c r="K201" s="5">
        <v>57391</v>
      </c>
      <c r="L201" s="5">
        <v>196</v>
      </c>
      <c r="M201" s="6">
        <f t="shared" si="6"/>
        <v>4.5247823769763724E-2</v>
      </c>
      <c r="N201" s="5">
        <f t="shared" si="7"/>
        <v>2547</v>
      </c>
      <c r="O201" s="1" t="s">
        <v>18</v>
      </c>
      <c r="P201" s="27" t="s">
        <v>20</v>
      </c>
      <c r="Q201" s="27"/>
    </row>
    <row r="202" spans="1:17" ht="15.75" customHeight="1">
      <c r="A202" s="1" t="s">
        <v>239</v>
      </c>
      <c r="B202" s="1" t="s">
        <v>26</v>
      </c>
      <c r="C202" s="4">
        <v>45547</v>
      </c>
      <c r="D202" s="4" t="str">
        <f>IF(
   C202 &lt; _xlfn.XLOOKUP(O202,'Campaign Metadata'!A:A,'Campaign Metadata'!B:B),
   "Before",
   IF(
      C202 &lt;= _xlfn.XLOOKUP(O202,'Campaign Metadata'!A:A,'Campaign Metadata'!C:C),
      "During",
      "After"
   )
 )</f>
        <v>Before</v>
      </c>
      <c r="E202" s="1" t="s">
        <v>27</v>
      </c>
      <c r="F202" s="1" t="s">
        <v>31</v>
      </c>
      <c r="G202" s="5">
        <v>1839</v>
      </c>
      <c r="H202" s="5">
        <v>223</v>
      </c>
      <c r="I202" s="5">
        <v>171</v>
      </c>
      <c r="J202" s="5">
        <v>35459</v>
      </c>
      <c r="K202" s="5">
        <v>69988</v>
      </c>
      <c r="L202" s="5">
        <v>114</v>
      </c>
      <c r="M202" s="6">
        <f t="shared" si="6"/>
        <v>6.2974139146620034E-2</v>
      </c>
      <c r="N202" s="5">
        <f t="shared" si="7"/>
        <v>2233</v>
      </c>
      <c r="O202" s="1" t="s">
        <v>18</v>
      </c>
      <c r="P202" s="27" t="s">
        <v>29</v>
      </c>
      <c r="Q202" s="27" t="s">
        <v>20</v>
      </c>
    </row>
    <row r="203" spans="1:17" ht="15.75" customHeight="1">
      <c r="A203" s="1" t="s">
        <v>240</v>
      </c>
      <c r="B203" s="1" t="s">
        <v>26</v>
      </c>
      <c r="C203" s="4">
        <v>45302</v>
      </c>
      <c r="D203" s="4" t="str">
        <f>IF(
   C203 &lt; _xlfn.XLOOKUP(O203,'Campaign Metadata'!A:A,'Campaign Metadata'!B:B),
   "Before",
   IF(
      C203 &lt;= _xlfn.XLOOKUP(O203,'Campaign Metadata'!A:A,'Campaign Metadata'!C:C),
      "During",
      "After"
   )
 )</f>
        <v>Before</v>
      </c>
      <c r="E203" s="1" t="s">
        <v>27</v>
      </c>
      <c r="F203" s="1" t="s">
        <v>31</v>
      </c>
      <c r="G203" s="5">
        <v>2340</v>
      </c>
      <c r="H203" s="5">
        <v>141</v>
      </c>
      <c r="I203" s="5">
        <v>206</v>
      </c>
      <c r="J203" s="5">
        <v>24916</v>
      </c>
      <c r="K203" s="5">
        <v>30582</v>
      </c>
      <c r="L203" s="5">
        <v>157</v>
      </c>
      <c r="M203" s="6">
        <f t="shared" si="6"/>
        <v>0.10784235029699792</v>
      </c>
      <c r="N203" s="5">
        <f t="shared" si="7"/>
        <v>2687</v>
      </c>
      <c r="O203" s="1" t="s">
        <v>18</v>
      </c>
      <c r="P203" s="27" t="s">
        <v>19</v>
      </c>
      <c r="Q203" s="27" t="s">
        <v>20</v>
      </c>
    </row>
    <row r="204" spans="1:17" ht="15.75" customHeight="1">
      <c r="A204" s="1" t="s">
        <v>241</v>
      </c>
      <c r="B204" s="1" t="s">
        <v>15</v>
      </c>
      <c r="C204" s="4">
        <v>45571</v>
      </c>
      <c r="D204" s="4" t="str">
        <f>IF(
   C204 &lt; _xlfn.XLOOKUP(O204,'Campaign Metadata'!A:A,'Campaign Metadata'!B:B),
   "Before",
   IF(
      C204 &lt;= _xlfn.XLOOKUP(O204,'Campaign Metadata'!A:A,'Campaign Metadata'!C:C),
      "During",
      "After"
   )
 )</f>
        <v>Before</v>
      </c>
      <c r="E204" s="1" t="s">
        <v>16</v>
      </c>
      <c r="F204" s="1" t="s">
        <v>42</v>
      </c>
      <c r="G204" s="5">
        <v>2080</v>
      </c>
      <c r="H204" s="5">
        <v>389</v>
      </c>
      <c r="I204" s="5">
        <v>92</v>
      </c>
      <c r="J204" s="5">
        <v>30971</v>
      </c>
      <c r="K204" s="5">
        <v>25347</v>
      </c>
      <c r="L204" s="5">
        <v>111</v>
      </c>
      <c r="M204" s="6">
        <f t="shared" si="6"/>
        <v>8.2690258629040073E-2</v>
      </c>
      <c r="N204" s="5">
        <f t="shared" si="7"/>
        <v>2561</v>
      </c>
      <c r="O204" s="1" t="s">
        <v>23</v>
      </c>
      <c r="P204" s="27" t="s">
        <v>24</v>
      </c>
      <c r="Q204" s="27"/>
    </row>
    <row r="205" spans="1:17" ht="15.75" customHeight="1">
      <c r="A205" s="1" t="s">
        <v>242</v>
      </c>
      <c r="B205" s="1" t="s">
        <v>26</v>
      </c>
      <c r="C205" s="4">
        <v>45656</v>
      </c>
      <c r="D205" s="4" t="str">
        <f>IF(
   C205 &lt; _xlfn.XLOOKUP(O205,'Campaign Metadata'!A:A,'Campaign Metadata'!B:B),
   "Before",
   IF(
      C205 &lt;= _xlfn.XLOOKUP(O205,'Campaign Metadata'!A:A,'Campaign Metadata'!C:C),
      "During",
      "After"
   )
 )</f>
        <v>Before</v>
      </c>
      <c r="E205" s="1" t="s">
        <v>16</v>
      </c>
      <c r="F205" s="1" t="s">
        <v>39</v>
      </c>
      <c r="G205" s="5">
        <v>4214</v>
      </c>
      <c r="H205" s="5">
        <v>286</v>
      </c>
      <c r="I205" s="5">
        <v>127</v>
      </c>
      <c r="J205" s="5">
        <v>47293</v>
      </c>
      <c r="K205" s="5">
        <v>27184</v>
      </c>
      <c r="L205" s="5">
        <v>232</v>
      </c>
      <c r="M205" s="6">
        <f t="shared" si="6"/>
        <v>9.7836889180216949E-2</v>
      </c>
      <c r="N205" s="5">
        <f t="shared" si="7"/>
        <v>4627</v>
      </c>
      <c r="O205" s="1" t="s">
        <v>18</v>
      </c>
      <c r="P205" s="27" t="s">
        <v>20</v>
      </c>
      <c r="Q205" s="27"/>
    </row>
    <row r="206" spans="1:17" ht="15.75" customHeight="1">
      <c r="A206" s="1" t="s">
        <v>243</v>
      </c>
      <c r="B206" s="1" t="s">
        <v>26</v>
      </c>
      <c r="C206" s="4">
        <v>45763</v>
      </c>
      <c r="D206" s="4" t="str">
        <f>IF(
   C206 &lt; _xlfn.XLOOKUP(O206,'Campaign Metadata'!A:A,'Campaign Metadata'!B:B),
   "Before",
   IF(
      C206 &lt;= _xlfn.XLOOKUP(O206,'Campaign Metadata'!A:A,'Campaign Metadata'!C:C),
      "During",
      "After"
   )
 )</f>
        <v>After</v>
      </c>
      <c r="E206" s="1" t="s">
        <v>16</v>
      </c>
      <c r="F206" s="1" t="s">
        <v>31</v>
      </c>
      <c r="G206" s="5">
        <v>3792</v>
      </c>
      <c r="H206" s="5">
        <v>315</v>
      </c>
      <c r="I206" s="5">
        <v>120</v>
      </c>
      <c r="J206" s="5">
        <v>54592</v>
      </c>
      <c r="K206" s="5">
        <v>67886</v>
      </c>
      <c r="L206" s="5">
        <v>117</v>
      </c>
      <c r="M206" s="6">
        <f t="shared" si="6"/>
        <v>7.7428927315357568E-2</v>
      </c>
      <c r="N206" s="5">
        <f t="shared" si="7"/>
        <v>4227</v>
      </c>
      <c r="O206" s="1" t="s">
        <v>23</v>
      </c>
      <c r="P206" s="27" t="s">
        <v>19</v>
      </c>
      <c r="Q206" s="27"/>
    </row>
    <row r="207" spans="1:17" ht="15.75" customHeight="1">
      <c r="A207" s="1" t="s">
        <v>244</v>
      </c>
      <c r="B207" s="1" t="s">
        <v>26</v>
      </c>
      <c r="C207" s="4">
        <v>45525</v>
      </c>
      <c r="D207" s="4" t="str">
        <f>IF(
   C207 &lt; _xlfn.XLOOKUP(O207,'Campaign Metadata'!A:A,'Campaign Metadata'!B:B),
   "Before",
   IF(
      C207 &lt;= _xlfn.XLOOKUP(O207,'Campaign Metadata'!A:A,'Campaign Metadata'!C:C),
      "During",
      "After"
   )
 )</f>
        <v>Before</v>
      </c>
      <c r="E207" s="1" t="s">
        <v>27</v>
      </c>
      <c r="F207" s="1" t="s">
        <v>22</v>
      </c>
      <c r="G207" s="5">
        <v>3989</v>
      </c>
      <c r="H207" s="5">
        <v>476</v>
      </c>
      <c r="I207" s="5">
        <v>128</v>
      </c>
      <c r="J207" s="5">
        <v>57569</v>
      </c>
      <c r="K207" s="5">
        <v>40193</v>
      </c>
      <c r="L207" s="5">
        <v>222</v>
      </c>
      <c r="M207" s="6">
        <f t="shared" si="6"/>
        <v>7.9782521843353188E-2</v>
      </c>
      <c r="N207" s="5">
        <f t="shared" si="7"/>
        <v>4593</v>
      </c>
      <c r="O207" s="1" t="s">
        <v>18</v>
      </c>
      <c r="P207" s="27" t="s">
        <v>24</v>
      </c>
      <c r="Q207" s="27" t="s">
        <v>29</v>
      </c>
    </row>
    <row r="208" spans="1:17" ht="15.75" customHeight="1">
      <c r="A208" s="1" t="s">
        <v>245</v>
      </c>
      <c r="B208" s="1" t="s">
        <v>26</v>
      </c>
      <c r="C208" s="4">
        <v>45387</v>
      </c>
      <c r="D208" s="4" t="str">
        <f>IF(
   C208 &lt; _xlfn.XLOOKUP(O208,'Campaign Metadata'!A:A,'Campaign Metadata'!B:B),
   "Before",
   IF(
      C208 &lt;= _xlfn.XLOOKUP(O208,'Campaign Metadata'!A:A,'Campaign Metadata'!C:C),
      "During",
      "After"
   )
 )</f>
        <v>Before</v>
      </c>
      <c r="E208" s="1" t="s">
        <v>27</v>
      </c>
      <c r="F208" s="1" t="s">
        <v>31</v>
      </c>
      <c r="G208" s="5">
        <v>2857</v>
      </c>
      <c r="H208" s="5">
        <v>443</v>
      </c>
      <c r="I208" s="5">
        <v>359</v>
      </c>
      <c r="J208" s="5">
        <v>51519</v>
      </c>
      <c r="K208" s="5">
        <v>28256</v>
      </c>
      <c r="L208" s="5">
        <v>155</v>
      </c>
      <c r="M208" s="6">
        <f t="shared" si="6"/>
        <v>7.1022341272152026E-2</v>
      </c>
      <c r="N208" s="5">
        <f t="shared" si="7"/>
        <v>3659</v>
      </c>
      <c r="O208" s="1" t="s">
        <v>18</v>
      </c>
      <c r="P208" s="27" t="s">
        <v>19</v>
      </c>
      <c r="Q208" s="27" t="s">
        <v>20</v>
      </c>
    </row>
    <row r="209" spans="1:17" ht="15.75" customHeight="1">
      <c r="A209" s="1" t="s">
        <v>246</v>
      </c>
      <c r="B209" s="1" t="s">
        <v>26</v>
      </c>
      <c r="C209" s="4">
        <v>45754</v>
      </c>
      <c r="D209" s="4" t="str">
        <f>IF(
   C209 &lt; _xlfn.XLOOKUP(O209,'Campaign Metadata'!A:A,'Campaign Metadata'!B:B),
   "Before",
   IF(
      C209 &lt;= _xlfn.XLOOKUP(O209,'Campaign Metadata'!A:A,'Campaign Metadata'!C:C),
      "During",
      "After"
   )
 )</f>
        <v>After</v>
      </c>
      <c r="E209" s="1" t="s">
        <v>16</v>
      </c>
      <c r="F209" s="1" t="s">
        <v>48</v>
      </c>
      <c r="G209" s="5">
        <v>1403</v>
      </c>
      <c r="H209" s="5">
        <v>385</v>
      </c>
      <c r="I209" s="5">
        <v>344</v>
      </c>
      <c r="J209" s="5">
        <v>54223</v>
      </c>
      <c r="K209" s="5">
        <v>72595</v>
      </c>
      <c r="L209" s="5">
        <v>239</v>
      </c>
      <c r="M209" s="6">
        <f t="shared" si="6"/>
        <v>3.9319108127547353E-2</v>
      </c>
      <c r="N209" s="5">
        <f t="shared" si="7"/>
        <v>2132</v>
      </c>
      <c r="O209" s="1" t="s">
        <v>23</v>
      </c>
      <c r="P209" s="27" t="s">
        <v>19</v>
      </c>
      <c r="Q209" s="27"/>
    </row>
    <row r="210" spans="1:17" ht="15.75" customHeight="1">
      <c r="A210" s="1" t="s">
        <v>247</v>
      </c>
      <c r="B210" s="1" t="s">
        <v>26</v>
      </c>
      <c r="C210" s="4">
        <v>45492</v>
      </c>
      <c r="D210" s="4" t="str">
        <f>IF(
   C210 &lt; _xlfn.XLOOKUP(O210,'Campaign Metadata'!A:A,'Campaign Metadata'!B:B),
   "Before",
   IF(
      C210 &lt;= _xlfn.XLOOKUP(O210,'Campaign Metadata'!A:A,'Campaign Metadata'!C:C),
      "During",
      "After"
   )
 )</f>
        <v>Before</v>
      </c>
      <c r="E210" s="1" t="s">
        <v>27</v>
      </c>
      <c r="F210" s="1" t="s">
        <v>37</v>
      </c>
      <c r="G210" s="5">
        <v>3071</v>
      </c>
      <c r="H210" s="5">
        <v>126</v>
      </c>
      <c r="I210" s="5">
        <v>200</v>
      </c>
      <c r="J210" s="5">
        <v>44013</v>
      </c>
      <c r="K210" s="5">
        <v>44679</v>
      </c>
      <c r="L210" s="5">
        <v>118</v>
      </c>
      <c r="M210" s="6">
        <f t="shared" si="6"/>
        <v>7.7181741758116915E-2</v>
      </c>
      <c r="N210" s="5">
        <f t="shared" si="7"/>
        <v>3397</v>
      </c>
      <c r="O210" s="1" t="s">
        <v>18</v>
      </c>
      <c r="P210" s="27" t="s">
        <v>24</v>
      </c>
      <c r="Q210" s="27" t="s">
        <v>29</v>
      </c>
    </row>
    <row r="211" spans="1:17" ht="15.75" customHeight="1">
      <c r="A211" s="1" t="s">
        <v>248</v>
      </c>
      <c r="B211" s="1" t="s">
        <v>26</v>
      </c>
      <c r="C211" s="4">
        <v>45780</v>
      </c>
      <c r="D211" s="4" t="str">
        <f>IF(
   C211 &lt; _xlfn.XLOOKUP(O211,'Campaign Metadata'!A:A,'Campaign Metadata'!B:B),
   "Before",
   IF(
      C211 &lt;= _xlfn.XLOOKUP(O211,'Campaign Metadata'!A:A,'Campaign Metadata'!C:C),
      "During",
      "After"
   )
 )</f>
        <v>After</v>
      </c>
      <c r="E211" s="1" t="s">
        <v>27</v>
      </c>
      <c r="F211" s="1" t="s">
        <v>42</v>
      </c>
      <c r="G211" s="5">
        <v>1010</v>
      </c>
      <c r="H211" s="5">
        <v>361</v>
      </c>
      <c r="I211" s="5">
        <v>240</v>
      </c>
      <c r="J211" s="5">
        <v>47229</v>
      </c>
      <c r="K211" s="5">
        <v>72573</v>
      </c>
      <c r="L211" s="5">
        <v>275</v>
      </c>
      <c r="M211" s="6">
        <f t="shared" si="6"/>
        <v>3.4110398272247981E-2</v>
      </c>
      <c r="N211" s="5">
        <f t="shared" si="7"/>
        <v>1611</v>
      </c>
      <c r="O211" s="1" t="s">
        <v>18</v>
      </c>
      <c r="P211" s="27" t="s">
        <v>19</v>
      </c>
      <c r="Q211" s="27" t="s">
        <v>20</v>
      </c>
    </row>
    <row r="212" spans="1:17" ht="15.75" customHeight="1">
      <c r="A212" s="1" t="s">
        <v>249</v>
      </c>
      <c r="B212" s="1" t="s">
        <v>26</v>
      </c>
      <c r="C212" s="4">
        <v>45396</v>
      </c>
      <c r="D212" s="4" t="str">
        <f>IF(
   C212 &lt; _xlfn.XLOOKUP(O212,'Campaign Metadata'!A:A,'Campaign Metadata'!B:B),
   "Before",
   IF(
      C212 &lt;= _xlfn.XLOOKUP(O212,'Campaign Metadata'!A:A,'Campaign Metadata'!C:C),
      "During",
      "After"
   )
 )</f>
        <v>Before</v>
      </c>
      <c r="E212" s="1" t="s">
        <v>27</v>
      </c>
      <c r="F212" s="1" t="s">
        <v>17</v>
      </c>
      <c r="G212" s="5">
        <v>1295</v>
      </c>
      <c r="H212" s="5">
        <v>153</v>
      </c>
      <c r="I212" s="5">
        <v>81</v>
      </c>
      <c r="J212" s="5">
        <v>48350</v>
      </c>
      <c r="K212" s="5">
        <v>61033</v>
      </c>
      <c r="L212" s="5">
        <v>232</v>
      </c>
      <c r="M212" s="6">
        <f t="shared" si="6"/>
        <v>3.1623578076525334E-2</v>
      </c>
      <c r="N212" s="5">
        <f t="shared" si="7"/>
        <v>1529</v>
      </c>
      <c r="O212" s="1" t="s">
        <v>18</v>
      </c>
      <c r="P212" s="27" t="s">
        <v>24</v>
      </c>
      <c r="Q212" s="27" t="s">
        <v>29</v>
      </c>
    </row>
    <row r="213" spans="1:17" ht="15.75" customHeight="1">
      <c r="A213" s="1" t="s">
        <v>250</v>
      </c>
      <c r="B213" s="1" t="s">
        <v>26</v>
      </c>
      <c r="C213" s="4">
        <v>45827</v>
      </c>
      <c r="D213" s="4" t="str">
        <f>IF(
   C213 &lt; _xlfn.XLOOKUP(O213,'Campaign Metadata'!A:A,'Campaign Metadata'!B:B),
   "Before",
   IF(
      C213 &lt;= _xlfn.XLOOKUP(O213,'Campaign Metadata'!A:A,'Campaign Metadata'!C:C),
      "During",
      "After"
   )
 )</f>
        <v>After</v>
      </c>
      <c r="E213" s="1" t="s">
        <v>27</v>
      </c>
      <c r="F213" s="1" t="s">
        <v>37</v>
      </c>
      <c r="G213" s="5">
        <v>1433</v>
      </c>
      <c r="H213" s="5">
        <v>452</v>
      </c>
      <c r="I213" s="5">
        <v>305</v>
      </c>
      <c r="J213" s="5">
        <v>54541</v>
      </c>
      <c r="K213" s="5">
        <v>63700</v>
      </c>
      <c r="L213" s="5">
        <v>296</v>
      </c>
      <c r="M213" s="6">
        <f t="shared" si="6"/>
        <v>4.0153279184466734E-2</v>
      </c>
      <c r="N213" s="5">
        <f t="shared" si="7"/>
        <v>2190</v>
      </c>
      <c r="O213" s="1" t="s">
        <v>18</v>
      </c>
      <c r="P213" s="27" t="s">
        <v>24</v>
      </c>
      <c r="Q213" s="27" t="s">
        <v>29</v>
      </c>
    </row>
    <row r="214" spans="1:17" ht="15.75" customHeight="1">
      <c r="A214" s="1" t="s">
        <v>251</v>
      </c>
      <c r="B214" s="1" t="s">
        <v>15</v>
      </c>
      <c r="C214" s="4">
        <v>45832</v>
      </c>
      <c r="D214" s="4" t="str">
        <f>IF(
   C214 &lt; _xlfn.XLOOKUP(O214,'Campaign Metadata'!A:A,'Campaign Metadata'!B:B),
   "Before",
   IF(
      C214 &lt;= _xlfn.XLOOKUP(O214,'Campaign Metadata'!A:A,'Campaign Metadata'!C:C),
      "During",
      "After"
   )
 )</f>
        <v>After</v>
      </c>
      <c r="E214" s="1" t="s">
        <v>27</v>
      </c>
      <c r="F214" s="1" t="s">
        <v>39</v>
      </c>
      <c r="G214" s="5">
        <v>4902</v>
      </c>
      <c r="H214" s="5">
        <v>422</v>
      </c>
      <c r="I214" s="5">
        <v>376</v>
      </c>
      <c r="J214" s="5">
        <v>31674</v>
      </c>
      <c r="K214" s="5">
        <v>53225</v>
      </c>
      <c r="L214" s="5">
        <v>147</v>
      </c>
      <c r="M214" s="6">
        <f t="shared" si="6"/>
        <v>0.17995832544042431</v>
      </c>
      <c r="N214" s="5">
        <f t="shared" si="7"/>
        <v>5700</v>
      </c>
      <c r="O214" s="1" t="s">
        <v>54</v>
      </c>
      <c r="P214" s="27" t="s">
        <v>20</v>
      </c>
      <c r="Q214" s="27"/>
    </row>
    <row r="215" spans="1:17" ht="15.75" customHeight="1">
      <c r="A215" s="1" t="s">
        <v>252</v>
      </c>
      <c r="B215" s="1" t="s">
        <v>26</v>
      </c>
      <c r="C215" s="4">
        <v>45574</v>
      </c>
      <c r="D215" s="4" t="str">
        <f>IF(
   C215 &lt; _xlfn.XLOOKUP(O215,'Campaign Metadata'!A:A,'Campaign Metadata'!B:B),
   "Before",
   IF(
      C215 &lt;= _xlfn.XLOOKUP(O215,'Campaign Metadata'!A:A,'Campaign Metadata'!C:C),
      "During",
      "After"
   )
 )</f>
        <v>Before</v>
      </c>
      <c r="E215" s="1" t="s">
        <v>16</v>
      </c>
      <c r="F215" s="1" t="s">
        <v>31</v>
      </c>
      <c r="G215" s="5">
        <v>2659</v>
      </c>
      <c r="H215" s="5">
        <v>167</v>
      </c>
      <c r="I215" s="5">
        <v>73</v>
      </c>
      <c r="J215" s="5">
        <v>23090</v>
      </c>
      <c r="K215" s="5">
        <v>25872</v>
      </c>
      <c r="L215" s="5">
        <v>293</v>
      </c>
      <c r="M215" s="6">
        <f t="shared" si="6"/>
        <v>0.12555218709398008</v>
      </c>
      <c r="N215" s="5">
        <f t="shared" si="7"/>
        <v>2899</v>
      </c>
      <c r="O215" s="1" t="s">
        <v>23</v>
      </c>
      <c r="P215" s="27" t="s">
        <v>19</v>
      </c>
      <c r="Q215" s="27"/>
    </row>
    <row r="216" spans="1:17" ht="15.75" customHeight="1">
      <c r="A216" s="1" t="s">
        <v>253</v>
      </c>
      <c r="B216" s="1" t="s">
        <v>33</v>
      </c>
      <c r="C216" s="4">
        <v>45672</v>
      </c>
      <c r="D216" s="4" t="str">
        <f>IF(
   C216 &lt; _xlfn.XLOOKUP(O216,'Campaign Metadata'!A:A,'Campaign Metadata'!B:B),
   "Before",
   IF(
      C216 &lt;= _xlfn.XLOOKUP(O216,'Campaign Metadata'!A:A,'Campaign Metadata'!C:C),
      "During",
      "After"
   )
 )</f>
        <v>Before</v>
      </c>
      <c r="E216" s="1" t="s">
        <v>16</v>
      </c>
      <c r="F216" s="1" t="s">
        <v>50</v>
      </c>
      <c r="G216" s="5">
        <v>2599</v>
      </c>
      <c r="H216" s="5">
        <v>324</v>
      </c>
      <c r="I216" s="5">
        <v>182</v>
      </c>
      <c r="J216" s="5">
        <v>37525</v>
      </c>
      <c r="K216" s="5">
        <v>37216</v>
      </c>
      <c r="L216" s="5">
        <v>186</v>
      </c>
      <c r="M216" s="6">
        <f t="shared" si="6"/>
        <v>8.2744836775483013E-2</v>
      </c>
      <c r="N216" s="5">
        <f t="shared" si="7"/>
        <v>3105</v>
      </c>
      <c r="O216" s="1" t="s">
        <v>23</v>
      </c>
      <c r="P216" s="27" t="s">
        <v>24</v>
      </c>
      <c r="Q216" s="27" t="s">
        <v>35</v>
      </c>
    </row>
    <row r="217" spans="1:17" ht="15.75" customHeight="1">
      <c r="A217" s="1" t="s">
        <v>254</v>
      </c>
      <c r="B217" s="1" t="s">
        <v>26</v>
      </c>
      <c r="C217" s="4">
        <v>45669</v>
      </c>
      <c r="D217" s="4" t="str">
        <f>IF(
   C217 &lt; _xlfn.XLOOKUP(O217,'Campaign Metadata'!A:A,'Campaign Metadata'!B:B),
   "Before",
   IF(
      C217 &lt;= _xlfn.XLOOKUP(O217,'Campaign Metadata'!A:A,'Campaign Metadata'!C:C),
      "During",
      "After"
   )
 )</f>
        <v>Before</v>
      </c>
      <c r="E217" s="1" t="s">
        <v>16</v>
      </c>
      <c r="F217" s="1" t="s">
        <v>34</v>
      </c>
      <c r="G217" s="5">
        <v>1765</v>
      </c>
      <c r="H217" s="5">
        <v>285</v>
      </c>
      <c r="I217" s="5">
        <v>100</v>
      </c>
      <c r="J217" s="5">
        <v>41313</v>
      </c>
      <c r="K217" s="5">
        <v>56575</v>
      </c>
      <c r="L217" s="5">
        <v>174</v>
      </c>
      <c r="M217" s="6">
        <f t="shared" si="6"/>
        <v>5.2041730205988429E-2</v>
      </c>
      <c r="N217" s="5">
        <f t="shared" si="7"/>
        <v>2150</v>
      </c>
      <c r="O217" s="1" t="s">
        <v>23</v>
      </c>
      <c r="P217" s="27" t="s">
        <v>19</v>
      </c>
      <c r="Q217" s="27"/>
    </row>
    <row r="218" spans="1:17" ht="15.75" customHeight="1">
      <c r="A218" s="1" t="s">
        <v>255</v>
      </c>
      <c r="B218" s="1" t="s">
        <v>15</v>
      </c>
      <c r="C218" s="4">
        <v>45808</v>
      </c>
      <c r="D218" s="4" t="str">
        <f>IF(
   C218 &lt; _xlfn.XLOOKUP(O218,'Campaign Metadata'!A:A,'Campaign Metadata'!B:B),
   "Before",
   IF(
      C218 &lt;= _xlfn.XLOOKUP(O218,'Campaign Metadata'!A:A,'Campaign Metadata'!C:C),
      "During",
      "After"
   )
 )</f>
        <v>After</v>
      </c>
      <c r="E218" s="1" t="s">
        <v>16</v>
      </c>
      <c r="F218" s="1" t="s">
        <v>37</v>
      </c>
      <c r="G218" s="5">
        <v>2169</v>
      </c>
      <c r="H218" s="5">
        <v>240</v>
      </c>
      <c r="I218" s="5">
        <v>57</v>
      </c>
      <c r="J218" s="5">
        <v>26109</v>
      </c>
      <c r="K218" s="5">
        <v>46667</v>
      </c>
      <c r="L218" s="5">
        <v>133</v>
      </c>
      <c r="M218" s="6">
        <f t="shared" si="6"/>
        <v>9.4450189589796618E-2</v>
      </c>
      <c r="N218" s="5">
        <f t="shared" si="7"/>
        <v>2466</v>
      </c>
      <c r="O218" s="1" t="s">
        <v>18</v>
      </c>
      <c r="P218" s="27" t="s">
        <v>19</v>
      </c>
      <c r="Q218" s="27" t="s">
        <v>20</v>
      </c>
    </row>
    <row r="219" spans="1:17" ht="15.75" customHeight="1">
      <c r="A219" s="1" t="s">
        <v>256</v>
      </c>
      <c r="B219" s="1" t="s">
        <v>26</v>
      </c>
      <c r="C219" s="4">
        <v>45579</v>
      </c>
      <c r="D219" s="4" t="str">
        <f>IF(
   C219 &lt; _xlfn.XLOOKUP(O219,'Campaign Metadata'!A:A,'Campaign Metadata'!B:B),
   "Before",
   IF(
      C219 &lt;= _xlfn.XLOOKUP(O219,'Campaign Metadata'!A:A,'Campaign Metadata'!C:C),
      "During",
      "After"
   )
 )</f>
        <v>Before</v>
      </c>
      <c r="E219" s="1" t="s">
        <v>27</v>
      </c>
      <c r="F219" s="1" t="s">
        <v>22</v>
      </c>
      <c r="G219" s="5">
        <v>4303</v>
      </c>
      <c r="H219" s="5">
        <v>306</v>
      </c>
      <c r="I219" s="5">
        <v>302</v>
      </c>
      <c r="J219" s="5">
        <v>39575</v>
      </c>
      <c r="K219" s="5">
        <v>33762</v>
      </c>
      <c r="L219" s="5">
        <v>265</v>
      </c>
      <c r="M219" s="6">
        <f t="shared" si="6"/>
        <v>0.12409349336702463</v>
      </c>
      <c r="N219" s="5">
        <f t="shared" si="7"/>
        <v>4911</v>
      </c>
      <c r="O219" s="1" t="s">
        <v>18</v>
      </c>
      <c r="P219" s="27" t="s">
        <v>24</v>
      </c>
      <c r="Q219" s="27" t="s">
        <v>29</v>
      </c>
    </row>
    <row r="220" spans="1:17" ht="15.75" customHeight="1">
      <c r="A220" s="1" t="s">
        <v>257</v>
      </c>
      <c r="B220" s="1" t="s">
        <v>26</v>
      </c>
      <c r="C220" s="4">
        <v>45332</v>
      </c>
      <c r="D220" s="4" t="str">
        <f>IF(
   C220 &lt; _xlfn.XLOOKUP(O220,'Campaign Metadata'!A:A,'Campaign Metadata'!B:B),
   "Before",
   IF(
      C220 &lt;= _xlfn.XLOOKUP(O220,'Campaign Metadata'!A:A,'Campaign Metadata'!C:C),
      "During",
      "After"
   )
 )</f>
        <v>Before</v>
      </c>
      <c r="E220" s="1" t="s">
        <v>16</v>
      </c>
      <c r="F220" s="1" t="s">
        <v>48</v>
      </c>
      <c r="G220" s="5">
        <v>1519</v>
      </c>
      <c r="H220" s="5">
        <v>456</v>
      </c>
      <c r="I220" s="5">
        <v>379</v>
      </c>
      <c r="J220" s="5">
        <v>51611</v>
      </c>
      <c r="K220" s="5">
        <v>45880</v>
      </c>
      <c r="L220" s="5">
        <v>176</v>
      </c>
      <c r="M220" s="6">
        <f t="shared" si="6"/>
        <v>4.5610431884675749E-2</v>
      </c>
      <c r="N220" s="5">
        <f t="shared" si="7"/>
        <v>2354</v>
      </c>
      <c r="O220" s="1" t="s">
        <v>23</v>
      </c>
      <c r="P220" s="27" t="s">
        <v>19</v>
      </c>
      <c r="Q220" s="27"/>
    </row>
    <row r="221" spans="1:17" ht="15.75" customHeight="1">
      <c r="A221" s="1" t="s">
        <v>258</v>
      </c>
      <c r="B221" s="1" t="s">
        <v>33</v>
      </c>
      <c r="C221" s="4">
        <v>45636</v>
      </c>
      <c r="D221" s="4" t="str">
        <f>IF(
   C221 &lt; _xlfn.XLOOKUP(O221,'Campaign Metadata'!A:A,'Campaign Metadata'!B:B),
   "Before",
   IF(
      C221 &lt;= _xlfn.XLOOKUP(O221,'Campaign Metadata'!A:A,'Campaign Metadata'!C:C),
      "During",
      "After"
   )
 )</f>
        <v>Before</v>
      </c>
      <c r="E221" s="1" t="s">
        <v>16</v>
      </c>
      <c r="F221" s="1" t="s">
        <v>37</v>
      </c>
      <c r="G221" s="5">
        <v>2569</v>
      </c>
      <c r="H221" s="5">
        <v>140</v>
      </c>
      <c r="I221" s="5">
        <v>375</v>
      </c>
      <c r="J221" s="5">
        <v>38372</v>
      </c>
      <c r="K221" s="5">
        <v>22102</v>
      </c>
      <c r="L221" s="5">
        <v>255</v>
      </c>
      <c r="M221" s="6">
        <f t="shared" si="6"/>
        <v>8.0371103929948923E-2</v>
      </c>
      <c r="N221" s="5">
        <f t="shared" si="7"/>
        <v>3084</v>
      </c>
      <c r="O221" s="1" t="s">
        <v>23</v>
      </c>
      <c r="P221" s="27" t="s">
        <v>24</v>
      </c>
      <c r="Q221" s="27" t="s">
        <v>35</v>
      </c>
    </row>
    <row r="222" spans="1:17" ht="15.75" customHeight="1">
      <c r="A222" s="1" t="s">
        <v>259</v>
      </c>
      <c r="B222" s="1" t="s">
        <v>26</v>
      </c>
      <c r="C222" s="4">
        <v>45786</v>
      </c>
      <c r="D222" s="4" t="str">
        <f>IF(
   C222 &lt; _xlfn.XLOOKUP(O222,'Campaign Metadata'!A:A,'Campaign Metadata'!B:B),
   "Before",
   IF(
      C222 &lt;= _xlfn.XLOOKUP(O222,'Campaign Metadata'!A:A,'Campaign Metadata'!C:C),
      "During",
      "After"
   )
 )</f>
        <v>After</v>
      </c>
      <c r="E222" s="1" t="s">
        <v>27</v>
      </c>
      <c r="F222" s="1" t="s">
        <v>34</v>
      </c>
      <c r="G222" s="5">
        <v>2778</v>
      </c>
      <c r="H222" s="5">
        <v>241</v>
      </c>
      <c r="I222" s="5">
        <v>317</v>
      </c>
      <c r="J222" s="5">
        <v>26247</v>
      </c>
      <c r="K222" s="5">
        <v>20677</v>
      </c>
      <c r="L222" s="5">
        <v>282</v>
      </c>
      <c r="M222" s="6">
        <f t="shared" si="6"/>
        <v>0.1271002400274317</v>
      </c>
      <c r="N222" s="5">
        <f t="shared" si="7"/>
        <v>3336</v>
      </c>
      <c r="O222" s="1" t="s">
        <v>18</v>
      </c>
      <c r="P222" s="27" t="s">
        <v>29</v>
      </c>
      <c r="Q222" s="27" t="s">
        <v>20</v>
      </c>
    </row>
    <row r="223" spans="1:17" ht="15.75" customHeight="1">
      <c r="A223" s="1" t="s">
        <v>260</v>
      </c>
      <c r="B223" s="1" t="s">
        <v>26</v>
      </c>
      <c r="C223" s="4">
        <v>45829</v>
      </c>
      <c r="D223" s="4" t="str">
        <f>IF(
   C223 &lt; _xlfn.XLOOKUP(O223,'Campaign Metadata'!A:A,'Campaign Metadata'!B:B),
   "Before",
   IF(
      C223 &lt;= _xlfn.XLOOKUP(O223,'Campaign Metadata'!A:A,'Campaign Metadata'!C:C),
      "During",
      "After"
   )
 )</f>
        <v>After</v>
      </c>
      <c r="E223" s="1" t="s">
        <v>16</v>
      </c>
      <c r="F223" s="1" t="s">
        <v>22</v>
      </c>
      <c r="G223" s="5">
        <v>3611</v>
      </c>
      <c r="H223" s="5">
        <v>127</v>
      </c>
      <c r="I223" s="5">
        <v>139</v>
      </c>
      <c r="J223" s="5">
        <v>44768</v>
      </c>
      <c r="K223" s="5">
        <v>29435</v>
      </c>
      <c r="L223" s="5">
        <v>178</v>
      </c>
      <c r="M223" s="6">
        <f t="shared" si="6"/>
        <v>8.6602037169406718E-2</v>
      </c>
      <c r="N223" s="5">
        <f t="shared" si="7"/>
        <v>3877</v>
      </c>
      <c r="O223" s="1" t="s">
        <v>18</v>
      </c>
      <c r="P223" s="27" t="s">
        <v>20</v>
      </c>
      <c r="Q223" s="27"/>
    </row>
    <row r="224" spans="1:17" ht="15.75" customHeight="1">
      <c r="A224" s="1" t="s">
        <v>261</v>
      </c>
      <c r="B224" s="1" t="s">
        <v>26</v>
      </c>
      <c r="C224" s="4">
        <v>45462</v>
      </c>
      <c r="D224" s="4" t="str">
        <f>IF(
   C224 &lt; _xlfn.XLOOKUP(O224,'Campaign Metadata'!A:A,'Campaign Metadata'!B:B),
   "Before",
   IF(
      C224 &lt;= _xlfn.XLOOKUP(O224,'Campaign Metadata'!A:A,'Campaign Metadata'!C:C),
      "During",
      "After"
   )
 )</f>
        <v>Before</v>
      </c>
      <c r="E224" s="1" t="s">
        <v>16</v>
      </c>
      <c r="F224" s="1" t="s">
        <v>37</v>
      </c>
      <c r="G224" s="5">
        <v>1224</v>
      </c>
      <c r="H224" s="5">
        <v>168</v>
      </c>
      <c r="I224" s="5">
        <v>199</v>
      </c>
      <c r="J224" s="5">
        <v>54232</v>
      </c>
      <c r="K224" s="5">
        <v>52844</v>
      </c>
      <c r="L224" s="5">
        <v>271</v>
      </c>
      <c r="M224" s="6">
        <f t="shared" si="6"/>
        <v>2.9336922849977874E-2</v>
      </c>
      <c r="N224" s="5">
        <f t="shared" si="7"/>
        <v>1591</v>
      </c>
      <c r="O224" s="1" t="s">
        <v>23</v>
      </c>
      <c r="P224" s="27" t="s">
        <v>19</v>
      </c>
      <c r="Q224" s="27"/>
    </row>
    <row r="225" spans="1:17" ht="15.75" customHeight="1">
      <c r="A225" s="1" t="s">
        <v>262</v>
      </c>
      <c r="B225" s="1" t="s">
        <v>26</v>
      </c>
      <c r="C225" s="4">
        <v>45636</v>
      </c>
      <c r="D225" s="4" t="str">
        <f>IF(
   C225 &lt; _xlfn.XLOOKUP(O225,'Campaign Metadata'!A:A,'Campaign Metadata'!B:B),
   "Before",
   IF(
      C225 &lt;= _xlfn.XLOOKUP(O225,'Campaign Metadata'!A:A,'Campaign Metadata'!C:C),
      "During",
      "After"
   )
 )</f>
        <v>Before</v>
      </c>
      <c r="E225" s="1" t="s">
        <v>16</v>
      </c>
      <c r="F225" s="1" t="s">
        <v>48</v>
      </c>
      <c r="G225" s="5">
        <v>4673</v>
      </c>
      <c r="H225" s="5">
        <v>270</v>
      </c>
      <c r="I225" s="5">
        <v>93</v>
      </c>
      <c r="J225" s="5">
        <v>45260</v>
      </c>
      <c r="K225" s="5">
        <v>57513</v>
      </c>
      <c r="L225" s="5">
        <v>103</v>
      </c>
      <c r="M225" s="6">
        <f t="shared" si="6"/>
        <v>0.11126822801590809</v>
      </c>
      <c r="N225" s="5">
        <f t="shared" si="7"/>
        <v>5036</v>
      </c>
      <c r="O225" s="1" t="s">
        <v>18</v>
      </c>
      <c r="P225" s="27" t="s">
        <v>20</v>
      </c>
      <c r="Q225" s="27"/>
    </row>
    <row r="226" spans="1:17" ht="15.75" customHeight="1">
      <c r="A226" s="1" t="s">
        <v>263</v>
      </c>
      <c r="B226" s="1" t="s">
        <v>33</v>
      </c>
      <c r="C226" s="4">
        <v>45323</v>
      </c>
      <c r="D226" s="4" t="str">
        <f>IF(
   C226 &lt; _xlfn.XLOOKUP(O226,'Campaign Metadata'!A:A,'Campaign Metadata'!B:B),
   "Before",
   IF(
      C226 &lt;= _xlfn.XLOOKUP(O226,'Campaign Metadata'!A:A,'Campaign Metadata'!C:C),
      "During",
      "After"
   )
 )</f>
        <v>Before</v>
      </c>
      <c r="E226" s="1" t="s">
        <v>16</v>
      </c>
      <c r="F226" s="1" t="s">
        <v>31</v>
      </c>
      <c r="G226" s="5">
        <v>1432</v>
      </c>
      <c r="H226" s="5">
        <v>437</v>
      </c>
      <c r="I226" s="5">
        <v>267</v>
      </c>
      <c r="J226" s="5">
        <v>40634</v>
      </c>
      <c r="K226" s="5">
        <v>54511</v>
      </c>
      <c r="L226" s="5">
        <v>197</v>
      </c>
      <c r="M226" s="6">
        <f t="shared" si="6"/>
        <v>5.2566815966924252E-2</v>
      </c>
      <c r="N226" s="5">
        <f t="shared" si="7"/>
        <v>2136</v>
      </c>
      <c r="O226" s="1" t="s">
        <v>23</v>
      </c>
      <c r="P226" s="27" t="s">
        <v>24</v>
      </c>
      <c r="Q226" s="27" t="s">
        <v>35</v>
      </c>
    </row>
    <row r="227" spans="1:17" ht="15.75" customHeight="1">
      <c r="A227" s="1" t="s">
        <v>264</v>
      </c>
      <c r="B227" s="1" t="s">
        <v>26</v>
      </c>
      <c r="C227" s="4">
        <v>45308</v>
      </c>
      <c r="D227" s="4" t="str">
        <f>IF(
   C227 &lt; _xlfn.XLOOKUP(O227,'Campaign Metadata'!A:A,'Campaign Metadata'!B:B),
   "Before",
   IF(
      C227 &lt;= _xlfn.XLOOKUP(O227,'Campaign Metadata'!A:A,'Campaign Metadata'!C:C),
      "During",
      "After"
   )
 )</f>
        <v>Before</v>
      </c>
      <c r="E227" s="1" t="s">
        <v>27</v>
      </c>
      <c r="F227" s="1" t="s">
        <v>28</v>
      </c>
      <c r="G227" s="5">
        <v>2174</v>
      </c>
      <c r="H227" s="5">
        <v>499</v>
      </c>
      <c r="I227" s="5">
        <v>212</v>
      </c>
      <c r="J227" s="5">
        <v>54938</v>
      </c>
      <c r="K227" s="5">
        <v>27190</v>
      </c>
      <c r="L227" s="5">
        <v>265</v>
      </c>
      <c r="M227" s="6">
        <f t="shared" si="6"/>
        <v>5.2513742764570971E-2</v>
      </c>
      <c r="N227" s="5">
        <f t="shared" si="7"/>
        <v>2885</v>
      </c>
      <c r="O227" s="1" t="s">
        <v>18</v>
      </c>
      <c r="P227" s="27" t="s">
        <v>29</v>
      </c>
      <c r="Q227" s="27" t="s">
        <v>20</v>
      </c>
    </row>
    <row r="228" spans="1:17" ht="15.75" customHeight="1">
      <c r="A228" s="1" t="s">
        <v>265</v>
      </c>
      <c r="B228" s="1" t="s">
        <v>33</v>
      </c>
      <c r="C228" s="4">
        <v>45738</v>
      </c>
      <c r="D228" s="4" t="str">
        <f>IF(
   C228 &lt; _xlfn.XLOOKUP(O228,'Campaign Metadata'!A:A,'Campaign Metadata'!B:B),
   "Before",
   IF(
      C228 &lt;= _xlfn.XLOOKUP(O228,'Campaign Metadata'!A:A,'Campaign Metadata'!C:C),
      "During",
      "After"
   )
 )</f>
        <v>During</v>
      </c>
      <c r="E228" s="1" t="s">
        <v>16</v>
      </c>
      <c r="F228" s="1" t="s">
        <v>34</v>
      </c>
      <c r="G228" s="5">
        <v>4308</v>
      </c>
      <c r="H228" s="5">
        <v>171</v>
      </c>
      <c r="I228" s="5">
        <v>106</v>
      </c>
      <c r="J228" s="5">
        <v>36955</v>
      </c>
      <c r="K228" s="5">
        <v>23949</v>
      </c>
      <c r="L228" s="5">
        <v>294</v>
      </c>
      <c r="M228" s="6">
        <f t="shared" si="6"/>
        <v>0.12406981463942633</v>
      </c>
      <c r="N228" s="5">
        <f t="shared" si="7"/>
        <v>4585</v>
      </c>
      <c r="O228" s="1" t="s">
        <v>23</v>
      </c>
      <c r="P228" s="27" t="s">
        <v>24</v>
      </c>
      <c r="Q228" s="27" t="s">
        <v>35</v>
      </c>
    </row>
    <row r="229" spans="1:17" ht="15.75" customHeight="1">
      <c r="A229" s="1" t="s">
        <v>266</v>
      </c>
      <c r="B229" s="1" t="s">
        <v>33</v>
      </c>
      <c r="C229" s="4">
        <v>45442</v>
      </c>
      <c r="D229" s="4" t="str">
        <f>IF(
   C229 &lt; _xlfn.XLOOKUP(O229,'Campaign Metadata'!A:A,'Campaign Metadata'!B:B),
   "Before",
   IF(
      C229 &lt;= _xlfn.XLOOKUP(O229,'Campaign Metadata'!A:A,'Campaign Metadata'!C:C),
      "During",
      "After"
   )
 )</f>
        <v>Before</v>
      </c>
      <c r="E229" s="1" t="s">
        <v>56</v>
      </c>
      <c r="F229" s="1" t="s">
        <v>37</v>
      </c>
      <c r="G229" s="5">
        <v>1060</v>
      </c>
      <c r="H229" s="5">
        <v>442</v>
      </c>
      <c r="I229" s="5">
        <v>319</v>
      </c>
      <c r="J229" s="5">
        <v>57194</v>
      </c>
      <c r="K229" s="5">
        <v>24258</v>
      </c>
      <c r="L229" s="5">
        <v>101</v>
      </c>
      <c r="M229" s="6">
        <f t="shared" si="6"/>
        <v>3.1839004091338254E-2</v>
      </c>
      <c r="N229" s="5">
        <f t="shared" si="7"/>
        <v>1821</v>
      </c>
      <c r="O229" s="1" t="s">
        <v>57</v>
      </c>
      <c r="P229" s="27" t="s">
        <v>24</v>
      </c>
      <c r="Q229" s="27" t="s">
        <v>19</v>
      </c>
    </row>
    <row r="230" spans="1:17" ht="15.75" customHeight="1">
      <c r="A230" s="1" t="s">
        <v>267</v>
      </c>
      <c r="B230" s="1" t="s">
        <v>33</v>
      </c>
      <c r="C230" s="4">
        <v>45346</v>
      </c>
      <c r="D230" s="4" t="str">
        <f>IF(
   C230 &lt; _xlfn.XLOOKUP(O230,'Campaign Metadata'!A:A,'Campaign Metadata'!B:B),
   "Before",
   IF(
      C230 &lt;= _xlfn.XLOOKUP(O230,'Campaign Metadata'!A:A,'Campaign Metadata'!C:C),
      "During",
      "After"
   )
 )</f>
        <v>Before</v>
      </c>
      <c r="E230" s="1" t="s">
        <v>16</v>
      </c>
      <c r="F230" s="1" t="s">
        <v>34</v>
      </c>
      <c r="G230" s="5">
        <v>4653</v>
      </c>
      <c r="H230" s="5">
        <v>226</v>
      </c>
      <c r="I230" s="5">
        <v>349</v>
      </c>
      <c r="J230" s="5">
        <v>56876</v>
      </c>
      <c r="K230" s="5">
        <v>28452</v>
      </c>
      <c r="L230" s="5">
        <v>257</v>
      </c>
      <c r="M230" s="6">
        <f t="shared" si="6"/>
        <v>9.191926295801392E-2</v>
      </c>
      <c r="N230" s="5">
        <f t="shared" si="7"/>
        <v>5228</v>
      </c>
      <c r="O230" s="1" t="s">
        <v>23</v>
      </c>
      <c r="P230" s="27" t="s">
        <v>24</v>
      </c>
      <c r="Q230" s="27" t="s">
        <v>35</v>
      </c>
    </row>
    <row r="231" spans="1:17" ht="15.75" customHeight="1">
      <c r="A231" s="1" t="s">
        <v>268</v>
      </c>
      <c r="B231" s="1" t="s">
        <v>33</v>
      </c>
      <c r="C231" s="4">
        <v>45791</v>
      </c>
      <c r="D231" s="4" t="str">
        <f>IF(
   C231 &lt; _xlfn.XLOOKUP(O231,'Campaign Metadata'!A:A,'Campaign Metadata'!B:B),
   "Before",
   IF(
      C231 &lt;= _xlfn.XLOOKUP(O231,'Campaign Metadata'!A:A,'Campaign Metadata'!C:C),
      "During",
      "After"
   )
 )</f>
        <v>After</v>
      </c>
      <c r="E231" s="1" t="s">
        <v>16</v>
      </c>
      <c r="F231" s="1" t="s">
        <v>17</v>
      </c>
      <c r="G231" s="5">
        <v>1701</v>
      </c>
      <c r="H231" s="5">
        <v>272</v>
      </c>
      <c r="I231" s="5">
        <v>385</v>
      </c>
      <c r="J231" s="5">
        <v>47496</v>
      </c>
      <c r="K231" s="5">
        <v>40832</v>
      </c>
      <c r="L231" s="5">
        <v>246</v>
      </c>
      <c r="M231" s="6">
        <f t="shared" si="6"/>
        <v>4.9646286003031836E-2</v>
      </c>
      <c r="N231" s="5">
        <f t="shared" si="7"/>
        <v>2358</v>
      </c>
      <c r="O231" s="1" t="s">
        <v>23</v>
      </c>
      <c r="P231" s="27" t="s">
        <v>24</v>
      </c>
      <c r="Q231" s="27" t="s">
        <v>35</v>
      </c>
    </row>
    <row r="232" spans="1:17" ht="15.75" customHeight="1">
      <c r="A232" s="1" t="s">
        <v>269</v>
      </c>
      <c r="B232" s="1" t="s">
        <v>15</v>
      </c>
      <c r="C232" s="4">
        <v>45379</v>
      </c>
      <c r="D232" s="4" t="str">
        <f>IF(
   C232 &lt; _xlfn.XLOOKUP(O232,'Campaign Metadata'!A:A,'Campaign Metadata'!B:B),
   "Before",
   IF(
      C232 &lt;= _xlfn.XLOOKUP(O232,'Campaign Metadata'!A:A,'Campaign Metadata'!C:C),
      "During",
      "After"
   )
 )</f>
        <v>Before</v>
      </c>
      <c r="E232" s="1" t="s">
        <v>16</v>
      </c>
      <c r="F232" s="1" t="s">
        <v>37</v>
      </c>
      <c r="G232" s="5">
        <v>1673</v>
      </c>
      <c r="H232" s="5">
        <v>280</v>
      </c>
      <c r="I232" s="5">
        <v>67</v>
      </c>
      <c r="J232" s="5">
        <v>29847</v>
      </c>
      <c r="K232" s="5">
        <v>48016</v>
      </c>
      <c r="L232" s="5">
        <v>213</v>
      </c>
      <c r="M232" s="6">
        <f t="shared" si="6"/>
        <v>6.76784936509532E-2</v>
      </c>
      <c r="N232" s="5">
        <f t="shared" si="7"/>
        <v>2020</v>
      </c>
      <c r="O232" s="1" t="s">
        <v>18</v>
      </c>
      <c r="P232" s="27" t="s">
        <v>19</v>
      </c>
      <c r="Q232" s="27" t="s">
        <v>20</v>
      </c>
    </row>
    <row r="233" spans="1:17" ht="15.75" customHeight="1">
      <c r="A233" s="1" t="s">
        <v>270</v>
      </c>
      <c r="B233" s="1" t="s">
        <v>33</v>
      </c>
      <c r="C233" s="4">
        <v>45723</v>
      </c>
      <c r="D233" s="4" t="str">
        <f>IF(
   C233 &lt; _xlfn.XLOOKUP(O233,'Campaign Metadata'!A:A,'Campaign Metadata'!B:B),
   "Before",
   IF(
      C233 &lt;= _xlfn.XLOOKUP(O233,'Campaign Metadata'!A:A,'Campaign Metadata'!C:C),
      "During",
      "After"
   )
 )</f>
        <v>During</v>
      </c>
      <c r="E233" s="1" t="s">
        <v>16</v>
      </c>
      <c r="F233" s="1" t="s">
        <v>42</v>
      </c>
      <c r="G233" s="5">
        <v>4310</v>
      </c>
      <c r="H233" s="5">
        <v>284</v>
      </c>
      <c r="I233" s="5">
        <v>306</v>
      </c>
      <c r="J233" s="5">
        <v>44606</v>
      </c>
      <c r="K233" s="5">
        <v>42604</v>
      </c>
      <c r="L233" s="5">
        <v>290</v>
      </c>
      <c r="M233" s="6">
        <f t="shared" si="6"/>
        <v>0.10985069273191947</v>
      </c>
      <c r="N233" s="5">
        <f t="shared" si="7"/>
        <v>4900</v>
      </c>
      <c r="O233" s="1" t="s">
        <v>23</v>
      </c>
      <c r="P233" s="27" t="s">
        <v>24</v>
      </c>
      <c r="Q233" s="27" t="s">
        <v>35</v>
      </c>
    </row>
    <row r="234" spans="1:17" ht="15.75" customHeight="1">
      <c r="A234" s="1" t="s">
        <v>271</v>
      </c>
      <c r="B234" s="1" t="s">
        <v>26</v>
      </c>
      <c r="C234" s="4">
        <v>45585</v>
      </c>
      <c r="D234" s="4" t="str">
        <f>IF(
   C234 &lt; _xlfn.XLOOKUP(O234,'Campaign Metadata'!A:A,'Campaign Metadata'!B:B),
   "Before",
   IF(
      C234 &lt;= _xlfn.XLOOKUP(O234,'Campaign Metadata'!A:A,'Campaign Metadata'!C:C),
      "During",
      "After"
   )
 )</f>
        <v>Before</v>
      </c>
      <c r="E234" s="1" t="s">
        <v>16</v>
      </c>
      <c r="F234" s="1" t="s">
        <v>48</v>
      </c>
      <c r="G234" s="5">
        <v>2752</v>
      </c>
      <c r="H234" s="5">
        <v>309</v>
      </c>
      <c r="I234" s="5">
        <v>91</v>
      </c>
      <c r="J234" s="5">
        <v>39038</v>
      </c>
      <c r="K234" s="5">
        <v>28095</v>
      </c>
      <c r="L234" s="5">
        <v>277</v>
      </c>
      <c r="M234" s="6">
        <f t="shared" si="6"/>
        <v>8.0741841282852611E-2</v>
      </c>
      <c r="N234" s="5">
        <f t="shared" si="7"/>
        <v>3152</v>
      </c>
      <c r="O234" s="1" t="s">
        <v>18</v>
      </c>
      <c r="P234" s="27" t="s">
        <v>20</v>
      </c>
      <c r="Q234" s="27"/>
    </row>
    <row r="235" spans="1:17" ht="15.75" customHeight="1">
      <c r="A235" s="1" t="s">
        <v>272</v>
      </c>
      <c r="B235" s="1" t="s">
        <v>26</v>
      </c>
      <c r="C235" s="4">
        <v>45324</v>
      </c>
      <c r="D235" s="4" t="str">
        <f>IF(
   C235 &lt; _xlfn.XLOOKUP(O235,'Campaign Metadata'!A:A,'Campaign Metadata'!B:B),
   "Before",
   IF(
      C235 &lt;= _xlfn.XLOOKUP(O235,'Campaign Metadata'!A:A,'Campaign Metadata'!C:C),
      "During",
      "After"
   )
 )</f>
        <v>Before</v>
      </c>
      <c r="E235" s="1" t="s">
        <v>16</v>
      </c>
      <c r="F235" s="1" t="s">
        <v>48</v>
      </c>
      <c r="G235" s="5">
        <v>3818</v>
      </c>
      <c r="H235" s="5">
        <v>115</v>
      </c>
      <c r="I235" s="5">
        <v>286</v>
      </c>
      <c r="J235" s="5">
        <v>25127</v>
      </c>
      <c r="K235" s="5">
        <v>22277</v>
      </c>
      <c r="L235" s="5">
        <v>263</v>
      </c>
      <c r="M235" s="6">
        <f t="shared" si="6"/>
        <v>0.16790703227603773</v>
      </c>
      <c r="N235" s="5">
        <f t="shared" si="7"/>
        <v>4219</v>
      </c>
      <c r="O235" s="1" t="s">
        <v>18</v>
      </c>
      <c r="P235" s="27" t="s">
        <v>20</v>
      </c>
      <c r="Q235" s="27"/>
    </row>
    <row r="236" spans="1:17" ht="15.75" customHeight="1">
      <c r="A236" s="1" t="s">
        <v>273</v>
      </c>
      <c r="B236" s="1" t="s">
        <v>33</v>
      </c>
      <c r="C236" s="4">
        <v>45542</v>
      </c>
      <c r="D236" s="4" t="str">
        <f>IF(
   C236 &lt; _xlfn.XLOOKUP(O236,'Campaign Metadata'!A:A,'Campaign Metadata'!B:B),
   "Before",
   IF(
      C236 &lt;= _xlfn.XLOOKUP(O236,'Campaign Metadata'!A:A,'Campaign Metadata'!C:C),
      "During",
      "After"
   )
 )</f>
        <v>Before</v>
      </c>
      <c r="E236" s="1" t="s">
        <v>16</v>
      </c>
      <c r="F236" s="1" t="s">
        <v>50</v>
      </c>
      <c r="G236" s="5">
        <v>2101</v>
      </c>
      <c r="H236" s="5">
        <v>411</v>
      </c>
      <c r="I236" s="5">
        <v>190</v>
      </c>
      <c r="J236" s="5">
        <v>41791</v>
      </c>
      <c r="K236" s="5">
        <v>57090</v>
      </c>
      <c r="L236" s="5">
        <v>172</v>
      </c>
      <c r="M236" s="6">
        <f t="shared" si="6"/>
        <v>6.4655069273288512E-2</v>
      </c>
      <c r="N236" s="5">
        <f t="shared" si="7"/>
        <v>2702</v>
      </c>
      <c r="O236" s="1" t="s">
        <v>23</v>
      </c>
      <c r="P236" s="27" t="s">
        <v>24</v>
      </c>
      <c r="Q236" s="27" t="s">
        <v>35</v>
      </c>
    </row>
    <row r="237" spans="1:17" ht="15.75" customHeight="1">
      <c r="A237" s="1" t="s">
        <v>274</v>
      </c>
      <c r="B237" s="1" t="s">
        <v>15</v>
      </c>
      <c r="C237" s="4">
        <v>45646</v>
      </c>
      <c r="D237" s="4" t="str">
        <f>IF(
   C237 &lt; _xlfn.XLOOKUP(O237,'Campaign Metadata'!A:A,'Campaign Metadata'!B:B),
   "Before",
   IF(
      C237 &lt;= _xlfn.XLOOKUP(O237,'Campaign Metadata'!A:A,'Campaign Metadata'!C:C),
      "During",
      "After"
   )
 )</f>
        <v>Before</v>
      </c>
      <c r="E237" s="1" t="s">
        <v>16</v>
      </c>
      <c r="F237" s="1" t="s">
        <v>17</v>
      </c>
      <c r="G237" s="5">
        <v>2519</v>
      </c>
      <c r="H237" s="5">
        <v>202</v>
      </c>
      <c r="I237" s="5">
        <v>239</v>
      </c>
      <c r="J237" s="5">
        <v>36245</v>
      </c>
      <c r="K237" s="5">
        <v>48606</v>
      </c>
      <c r="L237" s="5">
        <v>145</v>
      </c>
      <c r="M237" s="6">
        <f t="shared" si="6"/>
        <v>8.1666436749896543E-2</v>
      </c>
      <c r="N237" s="5">
        <f t="shared" si="7"/>
        <v>2960</v>
      </c>
      <c r="O237" s="1" t="s">
        <v>23</v>
      </c>
      <c r="P237" s="27" t="s">
        <v>24</v>
      </c>
      <c r="Q237" s="27"/>
    </row>
    <row r="238" spans="1:17" ht="15.75" customHeight="1">
      <c r="A238" s="1" t="s">
        <v>275</v>
      </c>
      <c r="B238" s="1" t="s">
        <v>33</v>
      </c>
      <c r="C238" s="4">
        <v>45305</v>
      </c>
      <c r="D238" s="4" t="str">
        <f>IF(
   C238 &lt; _xlfn.XLOOKUP(O238,'Campaign Metadata'!A:A,'Campaign Metadata'!B:B),
   "Before",
   IF(
      C238 &lt;= _xlfn.XLOOKUP(O238,'Campaign Metadata'!A:A,'Campaign Metadata'!C:C),
      "During",
      "After"
   )
 )</f>
        <v>Before</v>
      </c>
      <c r="E238" s="1" t="s">
        <v>16</v>
      </c>
      <c r="F238" s="1" t="s">
        <v>37</v>
      </c>
      <c r="G238" s="5">
        <v>4502</v>
      </c>
      <c r="H238" s="5">
        <v>238</v>
      </c>
      <c r="I238" s="5">
        <v>386</v>
      </c>
      <c r="J238" s="5">
        <v>39198</v>
      </c>
      <c r="K238" s="5">
        <v>25050</v>
      </c>
      <c r="L238" s="5">
        <v>297</v>
      </c>
      <c r="M238" s="6">
        <f t="shared" si="6"/>
        <v>0.13077197816215114</v>
      </c>
      <c r="N238" s="5">
        <f t="shared" si="7"/>
        <v>5126</v>
      </c>
      <c r="O238" s="1" t="s">
        <v>23</v>
      </c>
      <c r="P238" s="27" t="s">
        <v>24</v>
      </c>
      <c r="Q238" s="27" t="s">
        <v>35</v>
      </c>
    </row>
    <row r="239" spans="1:17" ht="15.75" customHeight="1">
      <c r="A239" s="1" t="s">
        <v>276</v>
      </c>
      <c r="B239" s="1" t="s">
        <v>15</v>
      </c>
      <c r="C239" s="4">
        <v>45823</v>
      </c>
      <c r="D239" s="4" t="str">
        <f>IF(
   C239 &lt; _xlfn.XLOOKUP(O239,'Campaign Metadata'!A:A,'Campaign Metadata'!B:B),
   "Before",
   IF(
      C239 &lt;= _xlfn.XLOOKUP(O239,'Campaign Metadata'!A:A,'Campaign Metadata'!C:C),
      "During",
      "After"
   )
 )</f>
        <v>After</v>
      </c>
      <c r="E239" s="1" t="s">
        <v>16</v>
      </c>
      <c r="F239" s="1" t="s">
        <v>22</v>
      </c>
      <c r="G239" s="5">
        <v>2478</v>
      </c>
      <c r="H239" s="5">
        <v>427</v>
      </c>
      <c r="I239" s="5">
        <v>242</v>
      </c>
      <c r="J239" s="5">
        <v>59272</v>
      </c>
      <c r="K239" s="5">
        <v>37833</v>
      </c>
      <c r="L239" s="5">
        <v>214</v>
      </c>
      <c r="M239" s="6">
        <f t="shared" si="6"/>
        <v>5.3094209744904843E-2</v>
      </c>
      <c r="N239" s="5">
        <f t="shared" si="7"/>
        <v>3147</v>
      </c>
      <c r="O239" s="1" t="s">
        <v>18</v>
      </c>
      <c r="P239" s="27" t="s">
        <v>19</v>
      </c>
      <c r="Q239" s="27" t="s">
        <v>20</v>
      </c>
    </row>
    <row r="240" spans="1:17" ht="15.75" customHeight="1">
      <c r="A240" s="1" t="s">
        <v>277</v>
      </c>
      <c r="B240" s="1" t="s">
        <v>26</v>
      </c>
      <c r="C240" s="4">
        <v>45639</v>
      </c>
      <c r="D240" s="4" t="str">
        <f>IF(
   C240 &lt; _xlfn.XLOOKUP(O240,'Campaign Metadata'!A:A,'Campaign Metadata'!B:B),
   "Before",
   IF(
      C240 &lt;= _xlfn.XLOOKUP(O240,'Campaign Metadata'!A:A,'Campaign Metadata'!C:C),
      "During",
      "After"
   )
 )</f>
        <v>Before</v>
      </c>
      <c r="E240" s="1" t="s">
        <v>27</v>
      </c>
      <c r="F240" s="1" t="s">
        <v>28</v>
      </c>
      <c r="G240" s="5">
        <v>4984</v>
      </c>
      <c r="H240" s="5">
        <v>300</v>
      </c>
      <c r="I240" s="5">
        <v>338</v>
      </c>
      <c r="J240" s="5">
        <v>32900</v>
      </c>
      <c r="K240" s="5">
        <v>31691</v>
      </c>
      <c r="L240" s="5">
        <v>160</v>
      </c>
      <c r="M240" s="6">
        <f t="shared" si="6"/>
        <v>0.17088145896656534</v>
      </c>
      <c r="N240" s="5">
        <f t="shared" si="7"/>
        <v>5622</v>
      </c>
      <c r="O240" s="1" t="s">
        <v>18</v>
      </c>
      <c r="P240" s="27" t="s">
        <v>29</v>
      </c>
      <c r="Q240" s="27" t="s">
        <v>20</v>
      </c>
    </row>
    <row r="241" spans="1:17" ht="15.75" customHeight="1">
      <c r="A241" s="1" t="s">
        <v>278</v>
      </c>
      <c r="B241" s="1" t="s">
        <v>33</v>
      </c>
      <c r="C241" s="4">
        <v>45533</v>
      </c>
      <c r="D241" s="4" t="str">
        <f>IF(
   C241 &lt; _xlfn.XLOOKUP(O241,'Campaign Metadata'!A:A,'Campaign Metadata'!B:B),
   "Before",
   IF(
      C241 &lt;= _xlfn.XLOOKUP(O241,'Campaign Metadata'!A:A,'Campaign Metadata'!C:C),
      "During",
      "After"
   )
 )</f>
        <v>Before</v>
      </c>
      <c r="E241" s="1" t="s">
        <v>16</v>
      </c>
      <c r="F241" s="1" t="s">
        <v>31</v>
      </c>
      <c r="G241" s="5">
        <v>4774</v>
      </c>
      <c r="H241" s="5">
        <v>389</v>
      </c>
      <c r="I241" s="5">
        <v>358</v>
      </c>
      <c r="J241" s="5">
        <v>52346</v>
      </c>
      <c r="K241" s="5">
        <v>30518</v>
      </c>
      <c r="L241" s="5">
        <v>277</v>
      </c>
      <c r="M241" s="6">
        <f t="shared" si="6"/>
        <v>0.10547128720437092</v>
      </c>
      <c r="N241" s="5">
        <f t="shared" si="7"/>
        <v>5521</v>
      </c>
      <c r="O241" s="1" t="s">
        <v>23</v>
      </c>
      <c r="P241" s="27" t="s">
        <v>24</v>
      </c>
      <c r="Q241" s="27" t="s">
        <v>35</v>
      </c>
    </row>
    <row r="242" spans="1:17" ht="15.75" customHeight="1">
      <c r="A242" s="1" t="s">
        <v>279</v>
      </c>
      <c r="B242" s="1" t="s">
        <v>26</v>
      </c>
      <c r="C242" s="4">
        <v>45550</v>
      </c>
      <c r="D242" s="4" t="str">
        <f>IF(
   C242 &lt; _xlfn.XLOOKUP(O242,'Campaign Metadata'!A:A,'Campaign Metadata'!B:B),
   "Before",
   IF(
      C242 &lt;= _xlfn.XLOOKUP(O242,'Campaign Metadata'!A:A,'Campaign Metadata'!C:C),
      "During",
      "After"
   )
 )</f>
        <v>Before</v>
      </c>
      <c r="E242" s="1" t="s">
        <v>16</v>
      </c>
      <c r="F242" s="1" t="s">
        <v>39</v>
      </c>
      <c r="G242" s="5">
        <v>2145</v>
      </c>
      <c r="H242" s="5">
        <v>340</v>
      </c>
      <c r="I242" s="5">
        <v>85</v>
      </c>
      <c r="J242" s="5">
        <v>53323</v>
      </c>
      <c r="K242" s="5">
        <v>49938</v>
      </c>
      <c r="L242" s="5">
        <v>104</v>
      </c>
      <c r="M242" s="6">
        <f t="shared" si="6"/>
        <v>4.819683813738912E-2</v>
      </c>
      <c r="N242" s="5">
        <f t="shared" si="7"/>
        <v>2570</v>
      </c>
      <c r="O242" s="1" t="s">
        <v>18</v>
      </c>
      <c r="P242" s="27" t="s">
        <v>20</v>
      </c>
      <c r="Q242" s="27"/>
    </row>
    <row r="243" spans="1:17" ht="15.75" customHeight="1">
      <c r="A243" s="1" t="s">
        <v>280</v>
      </c>
      <c r="B243" s="1" t="s">
        <v>26</v>
      </c>
      <c r="C243" s="4">
        <v>45759</v>
      </c>
      <c r="D243" s="4" t="str">
        <f>IF(
   C243 &lt; _xlfn.XLOOKUP(O243,'Campaign Metadata'!A:A,'Campaign Metadata'!B:B),
   "Before",
   IF(
      C243 &lt;= _xlfn.XLOOKUP(O243,'Campaign Metadata'!A:A,'Campaign Metadata'!C:C),
      "During",
      "After"
   )
 )</f>
        <v>After</v>
      </c>
      <c r="E243" s="1" t="s">
        <v>27</v>
      </c>
      <c r="F243" s="1" t="s">
        <v>48</v>
      </c>
      <c r="G243" s="5">
        <v>4315</v>
      </c>
      <c r="H243" s="5">
        <v>208</v>
      </c>
      <c r="I243" s="5">
        <v>273</v>
      </c>
      <c r="J243" s="5">
        <v>35780</v>
      </c>
      <c r="K243" s="5">
        <v>44349</v>
      </c>
      <c r="L243" s="5">
        <v>133</v>
      </c>
      <c r="M243" s="6">
        <f t="shared" si="6"/>
        <v>0.13404136389044158</v>
      </c>
      <c r="N243" s="5">
        <f t="shared" si="7"/>
        <v>4796</v>
      </c>
      <c r="O243" s="1" t="s">
        <v>18</v>
      </c>
      <c r="P243" s="27" t="s">
        <v>24</v>
      </c>
      <c r="Q243" s="27" t="s">
        <v>29</v>
      </c>
    </row>
    <row r="244" spans="1:17" ht="15.75" customHeight="1">
      <c r="A244" s="1" t="s">
        <v>281</v>
      </c>
      <c r="B244" s="1" t="s">
        <v>26</v>
      </c>
      <c r="C244" s="4">
        <v>45636</v>
      </c>
      <c r="D244" s="4" t="str">
        <f>IF(
   C244 &lt; _xlfn.XLOOKUP(O244,'Campaign Metadata'!A:A,'Campaign Metadata'!B:B),
   "Before",
   IF(
      C244 &lt;= _xlfn.XLOOKUP(O244,'Campaign Metadata'!A:A,'Campaign Metadata'!C:C),
      "During",
      "After"
   )
 )</f>
        <v>Before</v>
      </c>
      <c r="E244" s="1" t="s">
        <v>27</v>
      </c>
      <c r="F244" s="1" t="s">
        <v>31</v>
      </c>
      <c r="G244" s="5">
        <v>2267</v>
      </c>
      <c r="H244" s="5">
        <v>230</v>
      </c>
      <c r="I244" s="5">
        <v>243</v>
      </c>
      <c r="J244" s="5">
        <v>27904</v>
      </c>
      <c r="K244" s="5">
        <v>69771</v>
      </c>
      <c r="L244" s="5">
        <v>255</v>
      </c>
      <c r="M244" s="6">
        <f t="shared" si="6"/>
        <v>9.8193807339449546E-2</v>
      </c>
      <c r="N244" s="5">
        <f t="shared" si="7"/>
        <v>2740</v>
      </c>
      <c r="O244" s="1" t="s">
        <v>18</v>
      </c>
      <c r="P244" s="27" t="s">
        <v>24</v>
      </c>
      <c r="Q244" s="27" t="s">
        <v>29</v>
      </c>
    </row>
    <row r="245" spans="1:17" ht="15.75" customHeight="1">
      <c r="A245" s="1" t="s">
        <v>282</v>
      </c>
      <c r="B245" s="1" t="s">
        <v>33</v>
      </c>
      <c r="C245" s="4">
        <v>45816</v>
      </c>
      <c r="D245" s="4" t="str">
        <f>IF(
   C245 &lt; _xlfn.XLOOKUP(O245,'Campaign Metadata'!A:A,'Campaign Metadata'!B:B),
   "Before",
   IF(
      C245 &lt;= _xlfn.XLOOKUP(O245,'Campaign Metadata'!A:A,'Campaign Metadata'!C:C),
      "During",
      "After"
   )
 )</f>
        <v>After</v>
      </c>
      <c r="E245" s="1" t="s">
        <v>16</v>
      </c>
      <c r="F245" s="1" t="s">
        <v>34</v>
      </c>
      <c r="G245" s="5">
        <v>4375</v>
      </c>
      <c r="H245" s="5">
        <v>303</v>
      </c>
      <c r="I245" s="5">
        <v>294</v>
      </c>
      <c r="J245" s="5">
        <v>57468</v>
      </c>
      <c r="K245" s="5">
        <v>53397</v>
      </c>
      <c r="L245" s="5">
        <v>159</v>
      </c>
      <c r="M245" s="6">
        <f t="shared" si="6"/>
        <v>8.6517714206166912E-2</v>
      </c>
      <c r="N245" s="5">
        <f t="shared" si="7"/>
        <v>4972</v>
      </c>
      <c r="O245" s="1" t="s">
        <v>23</v>
      </c>
      <c r="P245" s="27" t="s">
        <v>24</v>
      </c>
      <c r="Q245" s="27" t="s">
        <v>35</v>
      </c>
    </row>
    <row r="246" spans="1:17" ht="15.75" customHeight="1">
      <c r="A246" s="1" t="s">
        <v>283</v>
      </c>
      <c r="B246" s="1" t="s">
        <v>26</v>
      </c>
      <c r="C246" s="4">
        <v>45666</v>
      </c>
      <c r="D246" s="4" t="str">
        <f>IF(
   C246 &lt; _xlfn.XLOOKUP(O246,'Campaign Metadata'!A:A,'Campaign Metadata'!B:B),
   "Before",
   IF(
      C246 &lt;= _xlfn.XLOOKUP(O246,'Campaign Metadata'!A:A,'Campaign Metadata'!C:C),
      "During",
      "After"
   )
 )</f>
        <v>Before</v>
      </c>
      <c r="E246" s="1" t="s">
        <v>27</v>
      </c>
      <c r="F246" s="1" t="s">
        <v>50</v>
      </c>
      <c r="G246" s="5">
        <v>3817</v>
      </c>
      <c r="H246" s="5">
        <v>284</v>
      </c>
      <c r="I246" s="5">
        <v>204</v>
      </c>
      <c r="J246" s="5">
        <v>46434</v>
      </c>
      <c r="K246" s="5">
        <v>53396</v>
      </c>
      <c r="L246" s="5">
        <v>104</v>
      </c>
      <c r="M246" s="6">
        <f t="shared" si="6"/>
        <v>9.2712236723090841E-2</v>
      </c>
      <c r="N246" s="5">
        <f t="shared" si="7"/>
        <v>4305</v>
      </c>
      <c r="O246" s="1" t="s">
        <v>18</v>
      </c>
      <c r="P246" s="27" t="s">
        <v>29</v>
      </c>
      <c r="Q246" s="27" t="s">
        <v>20</v>
      </c>
    </row>
    <row r="247" spans="1:17" ht="15.75" customHeight="1">
      <c r="A247" s="1" t="s">
        <v>284</v>
      </c>
      <c r="B247" s="1" t="s">
        <v>26</v>
      </c>
      <c r="C247" s="4">
        <v>45481</v>
      </c>
      <c r="D247" s="4" t="str">
        <f>IF(
   C247 &lt; _xlfn.XLOOKUP(O247,'Campaign Metadata'!A:A,'Campaign Metadata'!B:B),
   "Before",
   IF(
      C247 &lt;= _xlfn.XLOOKUP(O247,'Campaign Metadata'!A:A,'Campaign Metadata'!C:C),
      "During",
      "After"
   )
 )</f>
        <v>Before</v>
      </c>
      <c r="E247" s="1" t="s">
        <v>27</v>
      </c>
      <c r="F247" s="1" t="s">
        <v>42</v>
      </c>
      <c r="G247" s="5">
        <v>2981</v>
      </c>
      <c r="H247" s="5">
        <v>258</v>
      </c>
      <c r="I247" s="5">
        <v>168</v>
      </c>
      <c r="J247" s="5">
        <v>20677</v>
      </c>
      <c r="K247" s="5">
        <v>68290</v>
      </c>
      <c r="L247" s="5">
        <v>130</v>
      </c>
      <c r="M247" s="6">
        <f t="shared" si="6"/>
        <v>0.16477245248343569</v>
      </c>
      <c r="N247" s="5">
        <f t="shared" si="7"/>
        <v>3407</v>
      </c>
      <c r="O247" s="1" t="s">
        <v>18</v>
      </c>
      <c r="P247" s="27" t="s">
        <v>19</v>
      </c>
      <c r="Q247" s="27" t="s">
        <v>20</v>
      </c>
    </row>
    <row r="248" spans="1:17" ht="15.75" customHeight="1">
      <c r="A248" s="1" t="s">
        <v>285</v>
      </c>
      <c r="B248" s="1" t="s">
        <v>26</v>
      </c>
      <c r="C248" s="4">
        <v>45551</v>
      </c>
      <c r="D248" s="4" t="str">
        <f>IF(
   C248 &lt; _xlfn.XLOOKUP(O248,'Campaign Metadata'!A:A,'Campaign Metadata'!B:B),
   "Before",
   IF(
      C248 &lt;= _xlfn.XLOOKUP(O248,'Campaign Metadata'!A:A,'Campaign Metadata'!C:C),
      "During",
      "After"
   )
 )</f>
        <v>Before</v>
      </c>
      <c r="E248" s="1" t="s">
        <v>27</v>
      </c>
      <c r="F248" s="1" t="s">
        <v>50</v>
      </c>
      <c r="G248" s="5">
        <v>3300</v>
      </c>
      <c r="H248" s="5">
        <v>354</v>
      </c>
      <c r="I248" s="5">
        <v>397</v>
      </c>
      <c r="J248" s="5">
        <v>56773</v>
      </c>
      <c r="K248" s="5">
        <v>72110</v>
      </c>
      <c r="L248" s="5">
        <v>163</v>
      </c>
      <c r="M248" s="6">
        <f t="shared" si="6"/>
        <v>7.1354340971940891E-2</v>
      </c>
      <c r="N248" s="5">
        <f t="shared" si="7"/>
        <v>4051</v>
      </c>
      <c r="O248" s="1" t="s">
        <v>18</v>
      </c>
      <c r="P248" s="27" t="s">
        <v>24</v>
      </c>
      <c r="Q248" s="27" t="s">
        <v>29</v>
      </c>
    </row>
    <row r="249" spans="1:17" ht="15.75" customHeight="1">
      <c r="A249" s="1" t="s">
        <v>286</v>
      </c>
      <c r="B249" s="1" t="s">
        <v>33</v>
      </c>
      <c r="C249" s="4">
        <v>45457</v>
      </c>
      <c r="D249" s="4" t="str">
        <f>IF(
   C249 &lt; _xlfn.XLOOKUP(O249,'Campaign Metadata'!A:A,'Campaign Metadata'!B:B),
   "Before",
   IF(
      C249 &lt;= _xlfn.XLOOKUP(O249,'Campaign Metadata'!A:A,'Campaign Metadata'!C:C),
      "During",
      "After"
   )
 )</f>
        <v>Before</v>
      </c>
      <c r="E249" s="1" t="s">
        <v>56</v>
      </c>
      <c r="F249" s="1" t="s">
        <v>31</v>
      </c>
      <c r="G249" s="5">
        <v>4722</v>
      </c>
      <c r="H249" s="5">
        <v>310</v>
      </c>
      <c r="I249" s="5">
        <v>344</v>
      </c>
      <c r="J249" s="5">
        <v>27911</v>
      </c>
      <c r="K249" s="5">
        <v>19000</v>
      </c>
      <c r="L249" s="5">
        <v>225</v>
      </c>
      <c r="M249" s="6">
        <f t="shared" si="6"/>
        <v>0.19261223173659131</v>
      </c>
      <c r="N249" s="5">
        <f t="shared" si="7"/>
        <v>5376</v>
      </c>
      <c r="O249" s="1" t="s">
        <v>57</v>
      </c>
      <c r="P249" s="27" t="s">
        <v>24</v>
      </c>
      <c r="Q249" s="27" t="s">
        <v>19</v>
      </c>
    </row>
    <row r="250" spans="1:17" ht="15.75" customHeight="1">
      <c r="A250" s="1" t="s">
        <v>287</v>
      </c>
      <c r="B250" s="1" t="s">
        <v>15</v>
      </c>
      <c r="C250" s="4">
        <v>45357</v>
      </c>
      <c r="D250" s="4" t="str">
        <f>IF(
   C250 &lt; _xlfn.XLOOKUP(O250,'Campaign Metadata'!A:A,'Campaign Metadata'!B:B),
   "Before",
   IF(
      C250 &lt;= _xlfn.XLOOKUP(O250,'Campaign Metadata'!A:A,'Campaign Metadata'!C:C),
      "During",
      "After"
   )
 )</f>
        <v>Before</v>
      </c>
      <c r="E250" s="1" t="s">
        <v>16</v>
      </c>
      <c r="F250" s="1" t="s">
        <v>37</v>
      </c>
      <c r="G250" s="5">
        <v>3529</v>
      </c>
      <c r="H250" s="5">
        <v>263</v>
      </c>
      <c r="I250" s="5">
        <v>107</v>
      </c>
      <c r="J250" s="5">
        <v>26570</v>
      </c>
      <c r="K250" s="5">
        <v>19367</v>
      </c>
      <c r="L250" s="5">
        <v>96</v>
      </c>
      <c r="M250" s="6">
        <f t="shared" si="6"/>
        <v>0.14674444862627023</v>
      </c>
      <c r="N250" s="5">
        <f t="shared" si="7"/>
        <v>3899</v>
      </c>
      <c r="O250" s="1" t="s">
        <v>23</v>
      </c>
      <c r="P250" s="27" t="s">
        <v>24</v>
      </c>
      <c r="Q250" s="27"/>
    </row>
    <row r="251" spans="1:17" ht="15.75" customHeight="1">
      <c r="A251" s="1" t="s">
        <v>288</v>
      </c>
      <c r="B251" s="1" t="s">
        <v>26</v>
      </c>
      <c r="C251" s="4">
        <v>45792</v>
      </c>
      <c r="D251" s="4" t="str">
        <f>IF(
   C251 &lt; _xlfn.XLOOKUP(O251,'Campaign Metadata'!A:A,'Campaign Metadata'!B:B),
   "Before",
   IF(
      C251 &lt;= _xlfn.XLOOKUP(O251,'Campaign Metadata'!A:A,'Campaign Metadata'!C:C),
      "During",
      "After"
   )
 )</f>
        <v>After</v>
      </c>
      <c r="E251" s="1" t="s">
        <v>16</v>
      </c>
      <c r="F251" s="1" t="s">
        <v>50</v>
      </c>
      <c r="G251" s="5">
        <v>4782</v>
      </c>
      <c r="H251" s="5">
        <v>210</v>
      </c>
      <c r="I251" s="5">
        <v>311</v>
      </c>
      <c r="J251" s="5">
        <v>29793</v>
      </c>
      <c r="K251" s="5">
        <v>37543</v>
      </c>
      <c r="L251" s="5">
        <v>145</v>
      </c>
      <c r="M251" s="6">
        <f t="shared" si="6"/>
        <v>0.17799483100057059</v>
      </c>
      <c r="N251" s="5">
        <f t="shared" si="7"/>
        <v>5303</v>
      </c>
      <c r="O251" s="1" t="s">
        <v>18</v>
      </c>
      <c r="P251" s="27" t="s">
        <v>20</v>
      </c>
      <c r="Q251" s="27"/>
    </row>
    <row r="252" spans="1:17" ht="15.75" customHeight="1">
      <c r="A252" s="1" t="s">
        <v>289</v>
      </c>
      <c r="B252" s="1" t="s">
        <v>26</v>
      </c>
      <c r="C252" s="4">
        <v>45480</v>
      </c>
      <c r="D252" s="4" t="str">
        <f>IF(
   C252 &lt; _xlfn.XLOOKUP(O252,'Campaign Metadata'!A:A,'Campaign Metadata'!B:B),
   "Before",
   IF(
      C252 &lt;= _xlfn.XLOOKUP(O252,'Campaign Metadata'!A:A,'Campaign Metadata'!C:C),
      "During",
      "After"
   )
 )</f>
        <v>Before</v>
      </c>
      <c r="E252" s="1" t="s">
        <v>16</v>
      </c>
      <c r="F252" s="1" t="s">
        <v>37</v>
      </c>
      <c r="G252" s="5">
        <v>1848</v>
      </c>
      <c r="H252" s="5">
        <v>417</v>
      </c>
      <c r="I252" s="5">
        <v>294</v>
      </c>
      <c r="J252" s="5">
        <v>57819</v>
      </c>
      <c r="K252" s="5">
        <v>19798</v>
      </c>
      <c r="L252" s="5">
        <v>262</v>
      </c>
      <c r="M252" s="6">
        <f t="shared" si="6"/>
        <v>4.4258807658382193E-2</v>
      </c>
      <c r="N252" s="5">
        <f t="shared" si="7"/>
        <v>2559</v>
      </c>
      <c r="O252" s="1" t="s">
        <v>23</v>
      </c>
      <c r="P252" s="27" t="s">
        <v>19</v>
      </c>
      <c r="Q252" s="27"/>
    </row>
    <row r="253" spans="1:17" ht="15.75" customHeight="1">
      <c r="A253" s="1" t="s">
        <v>290</v>
      </c>
      <c r="B253" s="1" t="s">
        <v>33</v>
      </c>
      <c r="C253" s="4">
        <v>45591</v>
      </c>
      <c r="D253" s="4" t="str">
        <f>IF(
   C253 &lt; _xlfn.XLOOKUP(O253,'Campaign Metadata'!A:A,'Campaign Metadata'!B:B),
   "Before",
   IF(
      C253 &lt;= _xlfn.XLOOKUP(O253,'Campaign Metadata'!A:A,'Campaign Metadata'!C:C),
      "During",
      "After"
   )
 )</f>
        <v>Before</v>
      </c>
      <c r="E253" s="1" t="s">
        <v>16</v>
      </c>
      <c r="F253" s="1" t="s">
        <v>28</v>
      </c>
      <c r="G253" s="5">
        <v>4676</v>
      </c>
      <c r="H253" s="5">
        <v>211</v>
      </c>
      <c r="I253" s="5">
        <v>55</v>
      </c>
      <c r="J253" s="5">
        <v>45917</v>
      </c>
      <c r="K253" s="5">
        <v>73503</v>
      </c>
      <c r="L253" s="5">
        <v>248</v>
      </c>
      <c r="M253" s="6">
        <f t="shared" si="6"/>
        <v>0.10762898272970794</v>
      </c>
      <c r="N253" s="5">
        <f t="shared" si="7"/>
        <v>4942</v>
      </c>
      <c r="O253" s="1" t="s">
        <v>23</v>
      </c>
      <c r="P253" s="27" t="s">
        <v>24</v>
      </c>
      <c r="Q253" s="27" t="s">
        <v>35</v>
      </c>
    </row>
    <row r="254" spans="1:17" ht="15.75" customHeight="1">
      <c r="A254" s="1" t="s">
        <v>291</v>
      </c>
      <c r="B254" s="1" t="s">
        <v>33</v>
      </c>
      <c r="C254" s="4">
        <v>45512</v>
      </c>
      <c r="D254" s="4" t="str">
        <f>IF(
   C254 &lt; _xlfn.XLOOKUP(O254,'Campaign Metadata'!A:A,'Campaign Metadata'!B:B),
   "Before",
   IF(
      C254 &lt;= _xlfn.XLOOKUP(O254,'Campaign Metadata'!A:A,'Campaign Metadata'!C:C),
      "During",
      "After"
   )
 )</f>
        <v>Before</v>
      </c>
      <c r="E254" s="1" t="s">
        <v>16</v>
      </c>
      <c r="F254" s="1" t="s">
        <v>48</v>
      </c>
      <c r="G254" s="5">
        <v>1994</v>
      </c>
      <c r="H254" s="5">
        <v>197</v>
      </c>
      <c r="I254" s="5">
        <v>290</v>
      </c>
      <c r="J254" s="5">
        <v>49500</v>
      </c>
      <c r="K254" s="5">
        <v>23343</v>
      </c>
      <c r="L254" s="5">
        <v>160</v>
      </c>
      <c r="M254" s="6">
        <f t="shared" si="6"/>
        <v>5.0121212121212122E-2</v>
      </c>
      <c r="N254" s="5">
        <f t="shared" si="7"/>
        <v>2481</v>
      </c>
      <c r="O254" s="1" t="s">
        <v>23</v>
      </c>
      <c r="P254" s="27" t="s">
        <v>24</v>
      </c>
      <c r="Q254" s="27" t="s">
        <v>35</v>
      </c>
    </row>
    <row r="255" spans="1:17" ht="15.75" customHeight="1">
      <c r="A255" s="1" t="s">
        <v>292</v>
      </c>
      <c r="B255" s="1" t="s">
        <v>26</v>
      </c>
      <c r="C255" s="4">
        <v>45691</v>
      </c>
      <c r="D255" s="4" t="str">
        <f>IF(
   C255 &lt; _xlfn.XLOOKUP(O255,'Campaign Metadata'!A:A,'Campaign Metadata'!B:B),
   "Before",
   IF(
      C255 &lt;= _xlfn.XLOOKUP(O255,'Campaign Metadata'!A:A,'Campaign Metadata'!C:C),
      "During",
      "After"
   )
 )</f>
        <v>During</v>
      </c>
      <c r="E255" s="1" t="s">
        <v>16</v>
      </c>
      <c r="F255" s="1" t="s">
        <v>37</v>
      </c>
      <c r="G255" s="5">
        <v>4995</v>
      </c>
      <c r="H255" s="5">
        <v>231</v>
      </c>
      <c r="I255" s="5">
        <v>94</v>
      </c>
      <c r="J255" s="5">
        <v>34431</v>
      </c>
      <c r="K255" s="5">
        <v>32560</v>
      </c>
      <c r="L255" s="5">
        <v>262</v>
      </c>
      <c r="M255" s="6">
        <f t="shared" si="6"/>
        <v>0.15451192239551567</v>
      </c>
      <c r="N255" s="5">
        <f t="shared" si="7"/>
        <v>5320</v>
      </c>
      <c r="O255" s="1" t="s">
        <v>18</v>
      </c>
      <c r="P255" s="27" t="s">
        <v>20</v>
      </c>
      <c r="Q255" s="27"/>
    </row>
    <row r="256" spans="1:17" ht="15.75" customHeight="1">
      <c r="A256" s="1" t="s">
        <v>293</v>
      </c>
      <c r="B256" s="1" t="s">
        <v>26</v>
      </c>
      <c r="C256" s="4">
        <v>45385</v>
      </c>
      <c r="D256" s="4" t="str">
        <f>IF(
   C256 &lt; _xlfn.XLOOKUP(O256,'Campaign Metadata'!A:A,'Campaign Metadata'!B:B),
   "Before",
   IF(
      C256 &lt;= _xlfn.XLOOKUP(O256,'Campaign Metadata'!A:A,'Campaign Metadata'!C:C),
      "During",
      "After"
   )
 )</f>
        <v>Before</v>
      </c>
      <c r="E256" s="1" t="s">
        <v>27</v>
      </c>
      <c r="F256" s="1" t="s">
        <v>42</v>
      </c>
      <c r="G256" s="5">
        <v>2291</v>
      </c>
      <c r="H256" s="5">
        <v>146</v>
      </c>
      <c r="I256" s="5">
        <v>399</v>
      </c>
      <c r="J256" s="5">
        <v>49319</v>
      </c>
      <c r="K256" s="5">
        <v>28056</v>
      </c>
      <c r="L256" s="5">
        <v>90</v>
      </c>
      <c r="M256" s="6">
        <f t="shared" si="6"/>
        <v>5.7503193495407452E-2</v>
      </c>
      <c r="N256" s="5">
        <f t="shared" si="7"/>
        <v>2836</v>
      </c>
      <c r="O256" s="1" t="s">
        <v>18</v>
      </c>
      <c r="P256" s="27" t="s">
        <v>24</v>
      </c>
      <c r="Q256" s="27" t="s">
        <v>29</v>
      </c>
    </row>
    <row r="257" spans="1:17" ht="15.75" customHeight="1">
      <c r="A257" s="1" t="s">
        <v>294</v>
      </c>
      <c r="B257" s="1" t="s">
        <v>26</v>
      </c>
      <c r="C257" s="4">
        <v>45481</v>
      </c>
      <c r="D257" s="4" t="str">
        <f>IF(
   C257 &lt; _xlfn.XLOOKUP(O257,'Campaign Metadata'!A:A,'Campaign Metadata'!B:B),
   "Before",
   IF(
      C257 &lt;= _xlfn.XLOOKUP(O257,'Campaign Metadata'!A:A,'Campaign Metadata'!C:C),
      "During",
      "After"
   )
 )</f>
        <v>Before</v>
      </c>
      <c r="E257" s="1" t="s">
        <v>27</v>
      </c>
      <c r="F257" s="1" t="s">
        <v>31</v>
      </c>
      <c r="G257" s="5">
        <v>2304</v>
      </c>
      <c r="H257" s="5">
        <v>289</v>
      </c>
      <c r="I257" s="5">
        <v>161</v>
      </c>
      <c r="J257" s="5">
        <v>52645</v>
      </c>
      <c r="K257" s="5">
        <v>66262</v>
      </c>
      <c r="L257" s="5">
        <v>146</v>
      </c>
      <c r="M257" s="6">
        <f t="shared" si="6"/>
        <v>5.2312660271630736E-2</v>
      </c>
      <c r="N257" s="5">
        <f t="shared" si="7"/>
        <v>2754</v>
      </c>
      <c r="O257" s="1" t="s">
        <v>18</v>
      </c>
      <c r="P257" s="27" t="s">
        <v>29</v>
      </c>
      <c r="Q257" s="27" t="s">
        <v>20</v>
      </c>
    </row>
    <row r="258" spans="1:17" ht="15.75" customHeight="1">
      <c r="A258" s="1" t="s">
        <v>295</v>
      </c>
      <c r="B258" s="1" t="s">
        <v>26</v>
      </c>
      <c r="C258" s="4">
        <v>45451</v>
      </c>
      <c r="D258" s="4" t="str">
        <f>IF(
   C258 &lt; _xlfn.XLOOKUP(O258,'Campaign Metadata'!A:A,'Campaign Metadata'!B:B),
   "Before",
   IF(
      C258 &lt;= _xlfn.XLOOKUP(O258,'Campaign Metadata'!A:A,'Campaign Metadata'!C:C),
      "During",
      "After"
   )
 )</f>
        <v>Before</v>
      </c>
      <c r="E258" s="1" t="s">
        <v>27</v>
      </c>
      <c r="F258" s="1" t="s">
        <v>42</v>
      </c>
      <c r="G258" s="5">
        <v>3413</v>
      </c>
      <c r="H258" s="5">
        <v>326</v>
      </c>
      <c r="I258" s="5">
        <v>86</v>
      </c>
      <c r="J258" s="5">
        <v>44680</v>
      </c>
      <c r="K258" s="5">
        <v>52719</v>
      </c>
      <c r="L258" s="5">
        <v>272</v>
      </c>
      <c r="M258" s="6">
        <f t="shared" si="6"/>
        <v>8.5608773500447627E-2</v>
      </c>
      <c r="N258" s="5">
        <f t="shared" si="7"/>
        <v>3825</v>
      </c>
      <c r="O258" s="1" t="s">
        <v>18</v>
      </c>
      <c r="P258" s="27" t="s">
        <v>24</v>
      </c>
      <c r="Q258" s="27" t="s">
        <v>29</v>
      </c>
    </row>
    <row r="259" spans="1:17" ht="15.75" customHeight="1">
      <c r="A259" s="1" t="s">
        <v>296</v>
      </c>
      <c r="B259" s="1" t="s">
        <v>33</v>
      </c>
      <c r="C259" s="4">
        <v>45736</v>
      </c>
      <c r="D259" s="4" t="str">
        <f>IF(
   C259 &lt; _xlfn.XLOOKUP(O259,'Campaign Metadata'!A:A,'Campaign Metadata'!B:B),
   "Before",
   IF(
      C259 &lt;= _xlfn.XLOOKUP(O259,'Campaign Metadata'!A:A,'Campaign Metadata'!C:C),
      "During",
      "After"
   )
 )</f>
        <v>After</v>
      </c>
      <c r="E259" s="1" t="s">
        <v>56</v>
      </c>
      <c r="F259" s="1" t="s">
        <v>48</v>
      </c>
      <c r="G259" s="5">
        <v>1453</v>
      </c>
      <c r="H259" s="5">
        <v>156</v>
      </c>
      <c r="I259" s="5">
        <v>178</v>
      </c>
      <c r="J259" s="5">
        <v>52980</v>
      </c>
      <c r="K259" s="5">
        <v>57180</v>
      </c>
      <c r="L259" s="5">
        <v>286</v>
      </c>
      <c r="M259" s="6">
        <f t="shared" ref="M259:M301" si="8" xml:space="preserve"> (G259 +I259 +H259) / J259</f>
        <v>3.3729709324273313E-2</v>
      </c>
      <c r="N259" s="5">
        <f t="shared" ref="N259:N301" si="9" xml:space="preserve"> G259+H259+I259</f>
        <v>1787</v>
      </c>
      <c r="O259" s="1" t="s">
        <v>57</v>
      </c>
      <c r="P259" s="27" t="s">
        <v>24</v>
      </c>
      <c r="Q259" s="27" t="s">
        <v>19</v>
      </c>
    </row>
    <row r="260" spans="1:17" ht="15.75" customHeight="1">
      <c r="A260" s="1" t="s">
        <v>297</v>
      </c>
      <c r="B260" s="1" t="s">
        <v>26</v>
      </c>
      <c r="C260" s="4">
        <v>45676</v>
      </c>
      <c r="D260" s="4" t="str">
        <f>IF(
   C260 &lt; _xlfn.XLOOKUP(O260,'Campaign Metadata'!A:A,'Campaign Metadata'!B:B),
   "Before",
   IF(
      C260 &lt;= _xlfn.XLOOKUP(O260,'Campaign Metadata'!A:A,'Campaign Metadata'!C:C),
      "During",
      "After"
   )
 )</f>
        <v>During</v>
      </c>
      <c r="E260" s="1" t="s">
        <v>27</v>
      </c>
      <c r="F260" s="1" t="s">
        <v>34</v>
      </c>
      <c r="G260" s="5">
        <v>1651</v>
      </c>
      <c r="H260" s="5">
        <v>480</v>
      </c>
      <c r="I260" s="5">
        <v>282</v>
      </c>
      <c r="J260" s="5">
        <v>32140</v>
      </c>
      <c r="K260" s="5">
        <v>70560</v>
      </c>
      <c r="L260" s="5">
        <v>138</v>
      </c>
      <c r="M260" s="6">
        <f t="shared" si="8"/>
        <v>7.5077784691972627E-2</v>
      </c>
      <c r="N260" s="5">
        <f t="shared" si="9"/>
        <v>2413</v>
      </c>
      <c r="O260" s="1" t="s">
        <v>18</v>
      </c>
      <c r="P260" s="27" t="s">
        <v>19</v>
      </c>
      <c r="Q260" s="27" t="s">
        <v>20</v>
      </c>
    </row>
    <row r="261" spans="1:17" ht="15.75" customHeight="1">
      <c r="A261" s="1" t="s">
        <v>298</v>
      </c>
      <c r="B261" s="1" t="s">
        <v>26</v>
      </c>
      <c r="C261" s="4">
        <v>45662</v>
      </c>
      <c r="D261" s="4" t="str">
        <f>IF(
   C261 &lt; _xlfn.XLOOKUP(O261,'Campaign Metadata'!A:A,'Campaign Metadata'!B:B),
   "Before",
   IF(
      C261 &lt;= _xlfn.XLOOKUP(O261,'Campaign Metadata'!A:A,'Campaign Metadata'!C:C),
      "During",
      "After"
   )
 )</f>
        <v>Before</v>
      </c>
      <c r="E261" s="1" t="s">
        <v>27</v>
      </c>
      <c r="F261" s="1" t="s">
        <v>22</v>
      </c>
      <c r="G261" s="5">
        <v>3341</v>
      </c>
      <c r="H261" s="5">
        <v>154</v>
      </c>
      <c r="I261" s="5">
        <v>123</v>
      </c>
      <c r="J261" s="5">
        <v>43369</v>
      </c>
      <c r="K261" s="5">
        <v>49035</v>
      </c>
      <c r="L261" s="5">
        <v>128</v>
      </c>
      <c r="M261" s="6">
        <f t="shared" si="8"/>
        <v>8.3423643616408028E-2</v>
      </c>
      <c r="N261" s="5">
        <f t="shared" si="9"/>
        <v>3618</v>
      </c>
      <c r="O261" s="1" t="s">
        <v>18</v>
      </c>
      <c r="P261" s="27" t="s">
        <v>29</v>
      </c>
      <c r="Q261" s="27" t="s">
        <v>20</v>
      </c>
    </row>
    <row r="262" spans="1:17" ht="15.75" customHeight="1">
      <c r="A262" s="1" t="s">
        <v>299</v>
      </c>
      <c r="B262" s="1" t="s">
        <v>26</v>
      </c>
      <c r="C262" s="4">
        <v>45612</v>
      </c>
      <c r="D262" s="4" t="str">
        <f>IF(
   C262 &lt; _xlfn.XLOOKUP(O262,'Campaign Metadata'!A:A,'Campaign Metadata'!B:B),
   "Before",
   IF(
      C262 &lt;= _xlfn.XLOOKUP(O262,'Campaign Metadata'!A:A,'Campaign Metadata'!C:C),
      "During",
      "After"
   )
 )</f>
        <v>Before</v>
      </c>
      <c r="E262" s="1" t="s">
        <v>16</v>
      </c>
      <c r="F262" s="1" t="s">
        <v>48</v>
      </c>
      <c r="G262" s="5">
        <v>2972</v>
      </c>
      <c r="H262" s="5">
        <v>263</v>
      </c>
      <c r="I262" s="5">
        <v>308</v>
      </c>
      <c r="J262" s="5">
        <v>51740</v>
      </c>
      <c r="K262" s="5">
        <v>28214</v>
      </c>
      <c r="L262" s="5">
        <v>190</v>
      </c>
      <c r="M262" s="6">
        <f t="shared" si="8"/>
        <v>6.8477000386548123E-2</v>
      </c>
      <c r="N262" s="5">
        <f t="shared" si="9"/>
        <v>3543</v>
      </c>
      <c r="O262" s="1" t="s">
        <v>23</v>
      </c>
      <c r="P262" s="27" t="s">
        <v>19</v>
      </c>
      <c r="Q262" s="27"/>
    </row>
    <row r="263" spans="1:17" ht="15.75" customHeight="1">
      <c r="A263" s="1" t="s">
        <v>300</v>
      </c>
      <c r="B263" s="1" t="s">
        <v>26</v>
      </c>
      <c r="C263" s="4">
        <v>45626</v>
      </c>
      <c r="D263" s="4" t="str">
        <f>IF(
   C263 &lt; _xlfn.XLOOKUP(O263,'Campaign Metadata'!A:A,'Campaign Metadata'!B:B),
   "Before",
   IF(
      C263 &lt;= _xlfn.XLOOKUP(O263,'Campaign Metadata'!A:A,'Campaign Metadata'!C:C),
      "During",
      "After"
   )
 )</f>
        <v>Before</v>
      </c>
      <c r="E263" s="1" t="s">
        <v>27</v>
      </c>
      <c r="F263" s="1" t="s">
        <v>22</v>
      </c>
      <c r="G263" s="5">
        <v>4963</v>
      </c>
      <c r="H263" s="5">
        <v>255</v>
      </c>
      <c r="I263" s="5">
        <v>193</v>
      </c>
      <c r="J263" s="5">
        <v>44386</v>
      </c>
      <c r="K263" s="5">
        <v>28415</v>
      </c>
      <c r="L263" s="5">
        <v>174</v>
      </c>
      <c r="M263" s="6">
        <f t="shared" si="8"/>
        <v>0.12190780876853062</v>
      </c>
      <c r="N263" s="5">
        <f t="shared" si="9"/>
        <v>5411</v>
      </c>
      <c r="O263" s="1" t="s">
        <v>18</v>
      </c>
      <c r="P263" s="27" t="s">
        <v>29</v>
      </c>
      <c r="Q263" s="27" t="s">
        <v>20</v>
      </c>
    </row>
    <row r="264" spans="1:17" ht="15.75" customHeight="1">
      <c r="A264" s="1" t="s">
        <v>301</v>
      </c>
      <c r="B264" s="1" t="s">
        <v>33</v>
      </c>
      <c r="C264" s="4">
        <v>45378</v>
      </c>
      <c r="D264" s="4" t="str">
        <f>IF(
   C264 &lt; _xlfn.XLOOKUP(O264,'Campaign Metadata'!A:A,'Campaign Metadata'!B:B),
   "Before",
   IF(
      C264 &lt;= _xlfn.XLOOKUP(O264,'Campaign Metadata'!A:A,'Campaign Metadata'!C:C),
      "During",
      "After"
   )
 )</f>
        <v>Before</v>
      </c>
      <c r="E264" s="1" t="s">
        <v>16</v>
      </c>
      <c r="F264" s="1" t="s">
        <v>34</v>
      </c>
      <c r="G264" s="5">
        <v>2399</v>
      </c>
      <c r="H264" s="5">
        <v>191</v>
      </c>
      <c r="I264" s="5">
        <v>221</v>
      </c>
      <c r="J264" s="5">
        <v>51603</v>
      </c>
      <c r="K264" s="5">
        <v>40033</v>
      </c>
      <c r="L264" s="5">
        <v>173</v>
      </c>
      <c r="M264" s="6">
        <f t="shared" si="8"/>
        <v>5.4473577117609438E-2</v>
      </c>
      <c r="N264" s="5">
        <f t="shared" si="9"/>
        <v>2811</v>
      </c>
      <c r="O264" s="1" t="s">
        <v>23</v>
      </c>
      <c r="P264" s="27" t="s">
        <v>24</v>
      </c>
      <c r="Q264" s="27" t="s">
        <v>35</v>
      </c>
    </row>
    <row r="265" spans="1:17" ht="15.75" customHeight="1">
      <c r="A265" s="1" t="s">
        <v>302</v>
      </c>
      <c r="B265" s="1" t="s">
        <v>33</v>
      </c>
      <c r="C265" s="4">
        <v>45808</v>
      </c>
      <c r="D265" s="4" t="str">
        <f>IF(
   C265 &lt; _xlfn.XLOOKUP(O265,'Campaign Metadata'!A:A,'Campaign Metadata'!B:B),
   "Before",
   IF(
      C265 &lt;= _xlfn.XLOOKUP(O265,'Campaign Metadata'!A:A,'Campaign Metadata'!C:C),
      "During",
      "After"
   )
 )</f>
        <v>After</v>
      </c>
      <c r="E265" s="1" t="s">
        <v>56</v>
      </c>
      <c r="F265" s="1" t="s">
        <v>39</v>
      </c>
      <c r="G265" s="5">
        <v>2162</v>
      </c>
      <c r="H265" s="5">
        <v>318</v>
      </c>
      <c r="I265" s="5">
        <v>83</v>
      </c>
      <c r="J265" s="5">
        <v>46719</v>
      </c>
      <c r="K265" s="5">
        <v>20482</v>
      </c>
      <c r="L265" s="5">
        <v>185</v>
      </c>
      <c r="M265" s="6">
        <f t="shared" si="8"/>
        <v>5.4859907104176028E-2</v>
      </c>
      <c r="N265" s="5">
        <f t="shared" si="9"/>
        <v>2563</v>
      </c>
      <c r="O265" s="1" t="s">
        <v>57</v>
      </c>
      <c r="P265" s="27" t="s">
        <v>24</v>
      </c>
      <c r="Q265" s="27" t="s">
        <v>19</v>
      </c>
    </row>
    <row r="266" spans="1:17" ht="15.75" customHeight="1">
      <c r="A266" s="1" t="s">
        <v>303</v>
      </c>
      <c r="B266" s="1" t="s">
        <v>26</v>
      </c>
      <c r="C266" s="4">
        <v>45825</v>
      </c>
      <c r="D266" s="4" t="str">
        <f>IF(
   C266 &lt; _xlfn.XLOOKUP(O266,'Campaign Metadata'!A:A,'Campaign Metadata'!B:B),
   "Before",
   IF(
      C266 &lt;= _xlfn.XLOOKUP(O266,'Campaign Metadata'!A:A,'Campaign Metadata'!C:C),
      "During",
      "After"
   )
 )</f>
        <v>After</v>
      </c>
      <c r="E266" s="1" t="s">
        <v>27</v>
      </c>
      <c r="F266" s="1" t="s">
        <v>22</v>
      </c>
      <c r="G266" s="5">
        <v>4341</v>
      </c>
      <c r="H266" s="5">
        <v>141</v>
      </c>
      <c r="I266" s="5">
        <v>63</v>
      </c>
      <c r="J266" s="5">
        <v>50081</v>
      </c>
      <c r="K266" s="5">
        <v>27507</v>
      </c>
      <c r="L266" s="5">
        <v>221</v>
      </c>
      <c r="M266" s="6">
        <f t="shared" si="8"/>
        <v>9.0752980172121162E-2</v>
      </c>
      <c r="N266" s="5">
        <f t="shared" si="9"/>
        <v>4545</v>
      </c>
      <c r="O266" s="1" t="s">
        <v>18</v>
      </c>
      <c r="P266" s="27" t="s">
        <v>24</v>
      </c>
      <c r="Q266" s="27" t="s">
        <v>29</v>
      </c>
    </row>
    <row r="267" spans="1:17" ht="15.75" customHeight="1">
      <c r="A267" s="1" t="s">
        <v>304</v>
      </c>
      <c r="B267" s="1" t="s">
        <v>15</v>
      </c>
      <c r="C267" s="4">
        <v>45442</v>
      </c>
      <c r="D267" s="4" t="str">
        <f>IF(
   C267 &lt; _xlfn.XLOOKUP(O267,'Campaign Metadata'!A:A,'Campaign Metadata'!B:B),
   "Before",
   IF(
      C267 &lt;= _xlfn.XLOOKUP(O267,'Campaign Metadata'!A:A,'Campaign Metadata'!C:C),
      "During",
      "After"
   )
 )</f>
        <v>Before</v>
      </c>
      <c r="E267" s="1" t="s">
        <v>27</v>
      </c>
      <c r="F267" s="1" t="s">
        <v>39</v>
      </c>
      <c r="G267" s="5">
        <v>2448</v>
      </c>
      <c r="H267" s="5">
        <v>464</v>
      </c>
      <c r="I267" s="5">
        <v>98</v>
      </c>
      <c r="J267" s="5">
        <v>25737</v>
      </c>
      <c r="K267" s="5">
        <v>48545</v>
      </c>
      <c r="L267" s="5">
        <v>246</v>
      </c>
      <c r="M267" s="6">
        <f t="shared" si="8"/>
        <v>0.11695224773672146</v>
      </c>
      <c r="N267" s="5">
        <f t="shared" si="9"/>
        <v>3010</v>
      </c>
      <c r="O267" s="1" t="s">
        <v>54</v>
      </c>
      <c r="P267" s="27" t="s">
        <v>20</v>
      </c>
      <c r="Q267" s="27"/>
    </row>
    <row r="268" spans="1:17" ht="15.75" customHeight="1">
      <c r="A268" s="1" t="s">
        <v>305</v>
      </c>
      <c r="B268" s="1" t="s">
        <v>33</v>
      </c>
      <c r="C268" s="4">
        <v>45604</v>
      </c>
      <c r="D268" s="4" t="str">
        <f>IF(
   C268 &lt; _xlfn.XLOOKUP(O268,'Campaign Metadata'!A:A,'Campaign Metadata'!B:B),
   "Before",
   IF(
      C268 &lt;= _xlfn.XLOOKUP(O268,'Campaign Metadata'!A:A,'Campaign Metadata'!C:C),
      "During",
      "After"
   )
 )</f>
        <v>Before</v>
      </c>
      <c r="E268" s="1" t="s">
        <v>16</v>
      </c>
      <c r="F268" s="1" t="s">
        <v>42</v>
      </c>
      <c r="G268" s="5">
        <v>2471</v>
      </c>
      <c r="H268" s="5">
        <v>166</v>
      </c>
      <c r="I268" s="5">
        <v>320</v>
      </c>
      <c r="J268" s="5">
        <v>48254</v>
      </c>
      <c r="K268" s="5">
        <v>46900</v>
      </c>
      <c r="L268" s="5">
        <v>111</v>
      </c>
      <c r="M268" s="6">
        <f t="shared" si="8"/>
        <v>6.1279893894806647E-2</v>
      </c>
      <c r="N268" s="5">
        <f t="shared" si="9"/>
        <v>2957</v>
      </c>
      <c r="O268" s="1" t="s">
        <v>23</v>
      </c>
      <c r="P268" s="27" t="s">
        <v>24</v>
      </c>
      <c r="Q268" s="27" t="s">
        <v>35</v>
      </c>
    </row>
    <row r="269" spans="1:17" ht="15.75" customHeight="1">
      <c r="A269" s="1" t="s">
        <v>306</v>
      </c>
      <c r="B269" s="1" t="s">
        <v>33</v>
      </c>
      <c r="C269" s="4">
        <v>45368</v>
      </c>
      <c r="D269" s="4" t="str">
        <f>IF(
   C269 &lt; _xlfn.XLOOKUP(O269,'Campaign Metadata'!A:A,'Campaign Metadata'!B:B),
   "Before",
   IF(
      C269 &lt;= _xlfn.XLOOKUP(O269,'Campaign Metadata'!A:A,'Campaign Metadata'!C:C),
      "During",
      "After"
   )
 )</f>
        <v>Before</v>
      </c>
      <c r="E269" s="1" t="s">
        <v>56</v>
      </c>
      <c r="F269" s="1" t="s">
        <v>22</v>
      </c>
      <c r="G269" s="5">
        <v>2692</v>
      </c>
      <c r="H269" s="5">
        <v>446</v>
      </c>
      <c r="I269" s="5">
        <v>216</v>
      </c>
      <c r="J269" s="5">
        <v>45818</v>
      </c>
      <c r="K269" s="5">
        <v>62723</v>
      </c>
      <c r="L269" s="5">
        <v>85</v>
      </c>
      <c r="M269" s="6">
        <f t="shared" si="8"/>
        <v>7.3202671439172376E-2</v>
      </c>
      <c r="N269" s="5">
        <f t="shared" si="9"/>
        <v>3354</v>
      </c>
      <c r="O269" s="1" t="s">
        <v>57</v>
      </c>
      <c r="P269" s="27" t="s">
        <v>24</v>
      </c>
      <c r="Q269" s="27" t="s">
        <v>19</v>
      </c>
    </row>
    <row r="270" spans="1:17" ht="15.75" customHeight="1">
      <c r="A270" s="1" t="s">
        <v>307</v>
      </c>
      <c r="B270" s="1" t="s">
        <v>33</v>
      </c>
      <c r="C270" s="4">
        <v>45464</v>
      </c>
      <c r="D270" s="4" t="str">
        <f>IF(
   C270 &lt; _xlfn.XLOOKUP(O270,'Campaign Metadata'!A:A,'Campaign Metadata'!B:B),
   "Before",
   IF(
      C270 &lt;= _xlfn.XLOOKUP(O270,'Campaign Metadata'!A:A,'Campaign Metadata'!C:C),
      "During",
      "After"
   )
 )</f>
        <v>During</v>
      </c>
      <c r="E270" s="1" t="s">
        <v>56</v>
      </c>
      <c r="F270" s="1" t="s">
        <v>34</v>
      </c>
      <c r="G270" s="5">
        <v>4621</v>
      </c>
      <c r="H270" s="5">
        <v>374</v>
      </c>
      <c r="I270" s="5">
        <v>298</v>
      </c>
      <c r="J270" s="5">
        <v>56979</v>
      </c>
      <c r="K270" s="5">
        <v>24098</v>
      </c>
      <c r="L270" s="5">
        <v>205</v>
      </c>
      <c r="M270" s="6">
        <f t="shared" si="8"/>
        <v>9.2893873181347508E-2</v>
      </c>
      <c r="N270" s="5">
        <f t="shared" si="9"/>
        <v>5293</v>
      </c>
      <c r="O270" s="1" t="s">
        <v>57</v>
      </c>
      <c r="P270" s="27" t="s">
        <v>24</v>
      </c>
      <c r="Q270" s="27" t="s">
        <v>19</v>
      </c>
    </row>
    <row r="271" spans="1:17" ht="15.75" customHeight="1">
      <c r="A271" s="1" t="s">
        <v>308</v>
      </c>
      <c r="B271" s="1" t="s">
        <v>26</v>
      </c>
      <c r="C271" s="4">
        <v>45609</v>
      </c>
      <c r="D271" s="4" t="str">
        <f>IF(
   C271 &lt; _xlfn.XLOOKUP(O271,'Campaign Metadata'!A:A,'Campaign Metadata'!B:B),
   "Before",
   IF(
      C271 &lt;= _xlfn.XLOOKUP(O271,'Campaign Metadata'!A:A,'Campaign Metadata'!C:C),
      "During",
      "After"
   )
 )</f>
        <v>Before</v>
      </c>
      <c r="E271" s="1" t="s">
        <v>27</v>
      </c>
      <c r="F271" s="1" t="s">
        <v>28</v>
      </c>
      <c r="G271" s="5">
        <v>1409</v>
      </c>
      <c r="H271" s="5">
        <v>466</v>
      </c>
      <c r="I271" s="5">
        <v>105</v>
      </c>
      <c r="J271" s="5">
        <v>58923</v>
      </c>
      <c r="K271" s="5">
        <v>38753</v>
      </c>
      <c r="L271" s="5">
        <v>265</v>
      </c>
      <c r="M271" s="6">
        <f t="shared" si="8"/>
        <v>3.3603177027646251E-2</v>
      </c>
      <c r="N271" s="5">
        <f t="shared" si="9"/>
        <v>1980</v>
      </c>
      <c r="O271" s="1" t="s">
        <v>18</v>
      </c>
      <c r="P271" s="27" t="s">
        <v>24</v>
      </c>
      <c r="Q271" s="27" t="s">
        <v>29</v>
      </c>
    </row>
    <row r="272" spans="1:17" ht="15.75" customHeight="1">
      <c r="A272" s="1" t="s">
        <v>309</v>
      </c>
      <c r="B272" s="1" t="s">
        <v>26</v>
      </c>
      <c r="C272" s="4">
        <v>45693</v>
      </c>
      <c r="D272" s="4" t="str">
        <f>IF(
   C272 &lt; _xlfn.XLOOKUP(O272,'Campaign Metadata'!A:A,'Campaign Metadata'!B:B),
   "Before",
   IF(
      C272 &lt;= _xlfn.XLOOKUP(O272,'Campaign Metadata'!A:A,'Campaign Metadata'!C:C),
      "During",
      "After"
   )
 )</f>
        <v>During</v>
      </c>
      <c r="E272" s="1" t="s">
        <v>27</v>
      </c>
      <c r="F272" s="1" t="s">
        <v>17</v>
      </c>
      <c r="G272" s="5">
        <v>3029</v>
      </c>
      <c r="H272" s="5">
        <v>440</v>
      </c>
      <c r="I272" s="5">
        <v>66</v>
      </c>
      <c r="J272" s="5">
        <v>23815</v>
      </c>
      <c r="K272" s="5">
        <v>47895</v>
      </c>
      <c r="L272" s="5">
        <v>210</v>
      </c>
      <c r="M272" s="6">
        <f t="shared" si="8"/>
        <v>0.14843585975225698</v>
      </c>
      <c r="N272" s="5">
        <f t="shared" si="9"/>
        <v>3535</v>
      </c>
      <c r="O272" s="1" t="s">
        <v>18</v>
      </c>
      <c r="P272" s="27" t="s">
        <v>24</v>
      </c>
      <c r="Q272" s="27" t="s">
        <v>29</v>
      </c>
    </row>
    <row r="273" spans="1:17" ht="15.75" customHeight="1">
      <c r="A273" s="1" t="s">
        <v>310</v>
      </c>
      <c r="B273" s="1" t="s">
        <v>26</v>
      </c>
      <c r="C273" s="4">
        <v>45603</v>
      </c>
      <c r="D273" s="4" t="str">
        <f>IF(
   C273 &lt; _xlfn.XLOOKUP(O273,'Campaign Metadata'!A:A,'Campaign Metadata'!B:B),
   "Before",
   IF(
      C273 &lt;= _xlfn.XLOOKUP(O273,'Campaign Metadata'!A:A,'Campaign Metadata'!C:C),
      "During",
      "After"
   )
 )</f>
        <v>Before</v>
      </c>
      <c r="E273" s="1" t="s">
        <v>16</v>
      </c>
      <c r="F273" s="1" t="s">
        <v>22</v>
      </c>
      <c r="G273" s="5">
        <v>2229</v>
      </c>
      <c r="H273" s="5">
        <v>395</v>
      </c>
      <c r="I273" s="5">
        <v>328</v>
      </c>
      <c r="J273" s="5">
        <v>56921</v>
      </c>
      <c r="K273" s="5">
        <v>37176</v>
      </c>
      <c r="L273" s="5">
        <v>126</v>
      </c>
      <c r="M273" s="6">
        <f t="shared" si="8"/>
        <v>5.1861351697967357E-2</v>
      </c>
      <c r="N273" s="5">
        <f t="shared" si="9"/>
        <v>2952</v>
      </c>
      <c r="O273" s="1" t="s">
        <v>23</v>
      </c>
      <c r="P273" s="27" t="s">
        <v>19</v>
      </c>
      <c r="Q273" s="27"/>
    </row>
    <row r="274" spans="1:17" ht="15.75" customHeight="1">
      <c r="A274" s="1" t="s">
        <v>311</v>
      </c>
      <c r="B274" s="1" t="s">
        <v>26</v>
      </c>
      <c r="C274" s="4">
        <v>45334</v>
      </c>
      <c r="D274" s="4" t="str">
        <f>IF(
   C274 &lt; _xlfn.XLOOKUP(O274,'Campaign Metadata'!A:A,'Campaign Metadata'!B:B),
   "Before",
   IF(
      C274 &lt;= _xlfn.XLOOKUP(O274,'Campaign Metadata'!A:A,'Campaign Metadata'!C:C),
      "During",
      "After"
   )
 )</f>
        <v>Before</v>
      </c>
      <c r="E274" s="1" t="s">
        <v>16</v>
      </c>
      <c r="F274" s="1" t="s">
        <v>22</v>
      </c>
      <c r="G274" s="5">
        <v>2691</v>
      </c>
      <c r="H274" s="5">
        <v>486</v>
      </c>
      <c r="I274" s="5">
        <v>206</v>
      </c>
      <c r="J274" s="5">
        <v>51133</v>
      </c>
      <c r="K274" s="5">
        <v>44583</v>
      </c>
      <c r="L274" s="5">
        <v>276</v>
      </c>
      <c r="M274" s="6">
        <f t="shared" si="8"/>
        <v>6.6160796354604659E-2</v>
      </c>
      <c r="N274" s="5">
        <f t="shared" si="9"/>
        <v>3383</v>
      </c>
      <c r="O274" s="1" t="s">
        <v>18</v>
      </c>
      <c r="P274" s="27" t="s">
        <v>20</v>
      </c>
      <c r="Q274" s="27"/>
    </row>
    <row r="275" spans="1:17" ht="15.75" customHeight="1">
      <c r="A275" s="1" t="s">
        <v>312</v>
      </c>
      <c r="B275" s="1" t="s">
        <v>15</v>
      </c>
      <c r="C275" s="4">
        <v>45573</v>
      </c>
      <c r="D275" s="4" t="str">
        <f>IF(
   C275 &lt; _xlfn.XLOOKUP(O275,'Campaign Metadata'!A:A,'Campaign Metadata'!B:B),
   "Before",
   IF(
      C275 &lt;= _xlfn.XLOOKUP(O275,'Campaign Metadata'!A:A,'Campaign Metadata'!C:C),
      "During",
      "After"
   )
 )</f>
        <v>Before</v>
      </c>
      <c r="E275" s="1" t="s">
        <v>16</v>
      </c>
      <c r="F275" s="1" t="s">
        <v>22</v>
      </c>
      <c r="G275" s="5">
        <v>2110</v>
      </c>
      <c r="H275" s="5">
        <v>384</v>
      </c>
      <c r="I275" s="5">
        <v>236</v>
      </c>
      <c r="J275" s="5">
        <v>49965</v>
      </c>
      <c r="K275" s="5">
        <v>61555</v>
      </c>
      <c r="L275" s="5">
        <v>195</v>
      </c>
      <c r="M275" s="6">
        <f t="shared" si="8"/>
        <v>5.4638246772740921E-2</v>
      </c>
      <c r="N275" s="5">
        <f t="shared" si="9"/>
        <v>2730</v>
      </c>
      <c r="O275" s="1" t="s">
        <v>23</v>
      </c>
      <c r="P275" s="27" t="s">
        <v>24</v>
      </c>
      <c r="Q275" s="27"/>
    </row>
    <row r="276" spans="1:17" ht="15.75" customHeight="1">
      <c r="A276" s="1" t="s">
        <v>313</v>
      </c>
      <c r="B276" s="1" t="s">
        <v>15</v>
      </c>
      <c r="C276" s="4">
        <v>45341</v>
      </c>
      <c r="D276" s="4" t="str">
        <f>IF(
   C276 &lt; _xlfn.XLOOKUP(O276,'Campaign Metadata'!A:A,'Campaign Metadata'!B:B),
   "Before",
   IF(
      C276 &lt;= _xlfn.XLOOKUP(O276,'Campaign Metadata'!A:A,'Campaign Metadata'!C:C),
      "During",
      "After"
   )
 )</f>
        <v>Before</v>
      </c>
      <c r="E276" s="1" t="s">
        <v>16</v>
      </c>
      <c r="F276" s="1" t="s">
        <v>31</v>
      </c>
      <c r="G276" s="5">
        <v>4752</v>
      </c>
      <c r="H276" s="5">
        <v>449</v>
      </c>
      <c r="I276" s="5">
        <v>309</v>
      </c>
      <c r="J276" s="5">
        <v>58530</v>
      </c>
      <c r="K276" s="5">
        <v>26630</v>
      </c>
      <c r="L276" s="5">
        <v>234</v>
      </c>
      <c r="M276" s="6">
        <f t="shared" si="8"/>
        <v>9.4139757389372969E-2</v>
      </c>
      <c r="N276" s="5">
        <f t="shared" si="9"/>
        <v>5510</v>
      </c>
      <c r="O276" s="1" t="s">
        <v>23</v>
      </c>
      <c r="P276" s="27" t="s">
        <v>24</v>
      </c>
      <c r="Q276" s="27"/>
    </row>
    <row r="277" spans="1:17" ht="15.75" customHeight="1">
      <c r="A277" s="1" t="s">
        <v>314</v>
      </c>
      <c r="B277" s="1" t="s">
        <v>26</v>
      </c>
      <c r="C277" s="4">
        <v>45720</v>
      </c>
      <c r="D277" s="4" t="str">
        <f>IF(
   C277 &lt; _xlfn.XLOOKUP(O277,'Campaign Metadata'!A:A,'Campaign Metadata'!B:B),
   "Before",
   IF(
      C277 &lt;= _xlfn.XLOOKUP(O277,'Campaign Metadata'!A:A,'Campaign Metadata'!C:C),
      "During",
      "After"
   )
 )</f>
        <v>After</v>
      </c>
      <c r="E277" s="1" t="s">
        <v>16</v>
      </c>
      <c r="F277" s="1" t="s">
        <v>17</v>
      </c>
      <c r="G277" s="5">
        <v>2177</v>
      </c>
      <c r="H277" s="5">
        <v>258</v>
      </c>
      <c r="I277" s="5">
        <v>292</v>
      </c>
      <c r="J277" s="5">
        <v>47276</v>
      </c>
      <c r="K277" s="5">
        <v>51324</v>
      </c>
      <c r="L277" s="5">
        <v>143</v>
      </c>
      <c r="M277" s="6">
        <f t="shared" si="8"/>
        <v>5.7682545054573146E-2</v>
      </c>
      <c r="N277" s="5">
        <f t="shared" si="9"/>
        <v>2727</v>
      </c>
      <c r="O277" s="1" t="s">
        <v>18</v>
      </c>
      <c r="P277" s="27" t="s">
        <v>20</v>
      </c>
      <c r="Q277" s="27"/>
    </row>
    <row r="278" spans="1:17" ht="15.75" customHeight="1">
      <c r="A278" s="1" t="s">
        <v>315</v>
      </c>
      <c r="B278" s="1" t="s">
        <v>15</v>
      </c>
      <c r="C278" s="4">
        <v>45691</v>
      </c>
      <c r="D278" s="4" t="str">
        <f>IF(
   C278 &lt; _xlfn.XLOOKUP(O278,'Campaign Metadata'!A:A,'Campaign Metadata'!B:B),
   "Before",
   IF(
      C278 &lt;= _xlfn.XLOOKUP(O278,'Campaign Metadata'!A:A,'Campaign Metadata'!C:C),
      "During",
      "After"
   )
 )</f>
        <v>After</v>
      </c>
      <c r="E278" s="1" t="s">
        <v>27</v>
      </c>
      <c r="F278" s="1" t="s">
        <v>28</v>
      </c>
      <c r="G278" s="5">
        <v>1205</v>
      </c>
      <c r="H278" s="5">
        <v>486</v>
      </c>
      <c r="I278" s="5">
        <v>269</v>
      </c>
      <c r="J278" s="5">
        <v>23341</v>
      </c>
      <c r="K278" s="5">
        <v>42411</v>
      </c>
      <c r="L278" s="5">
        <v>184</v>
      </c>
      <c r="M278" s="6">
        <f t="shared" si="8"/>
        <v>8.3972409065592737E-2</v>
      </c>
      <c r="N278" s="5">
        <f t="shared" si="9"/>
        <v>1960</v>
      </c>
      <c r="O278" s="1" t="s">
        <v>54</v>
      </c>
      <c r="P278" s="27" t="s">
        <v>20</v>
      </c>
      <c r="Q278" s="27"/>
    </row>
    <row r="279" spans="1:17" ht="15.75" customHeight="1">
      <c r="A279" s="1" t="s">
        <v>316</v>
      </c>
      <c r="B279" s="1" t="s">
        <v>15</v>
      </c>
      <c r="C279" s="4">
        <v>45628</v>
      </c>
      <c r="D279" s="4" t="str">
        <f>IF(
   C279 &lt; _xlfn.XLOOKUP(O279,'Campaign Metadata'!A:A,'Campaign Metadata'!B:B),
   "Before",
   IF(
      C279 &lt;= _xlfn.XLOOKUP(O279,'Campaign Metadata'!A:A,'Campaign Metadata'!C:C),
      "During",
      "After"
   )
 )</f>
        <v>Before</v>
      </c>
      <c r="E279" s="1" t="s">
        <v>16</v>
      </c>
      <c r="F279" s="1" t="s">
        <v>42</v>
      </c>
      <c r="G279" s="5">
        <v>3194</v>
      </c>
      <c r="H279" s="5">
        <v>292</v>
      </c>
      <c r="I279" s="5">
        <v>245</v>
      </c>
      <c r="J279" s="5">
        <v>56371</v>
      </c>
      <c r="K279" s="5">
        <v>65597</v>
      </c>
      <c r="L279" s="5">
        <v>163</v>
      </c>
      <c r="M279" s="6">
        <f t="shared" si="8"/>
        <v>6.6186514342481059E-2</v>
      </c>
      <c r="N279" s="5">
        <f t="shared" si="9"/>
        <v>3731</v>
      </c>
      <c r="O279" s="1" t="s">
        <v>18</v>
      </c>
      <c r="P279" s="27" t="s">
        <v>19</v>
      </c>
      <c r="Q279" s="27" t="s">
        <v>20</v>
      </c>
    </row>
    <row r="280" spans="1:17" ht="15.75" customHeight="1">
      <c r="A280" s="1" t="s">
        <v>317</v>
      </c>
      <c r="B280" s="1" t="s">
        <v>26</v>
      </c>
      <c r="C280" s="4">
        <v>45676</v>
      </c>
      <c r="D280" s="4" t="str">
        <f>IF(
   C280 &lt; _xlfn.XLOOKUP(O280,'Campaign Metadata'!A:A,'Campaign Metadata'!B:B),
   "Before",
   IF(
      C280 &lt;= _xlfn.XLOOKUP(O280,'Campaign Metadata'!A:A,'Campaign Metadata'!C:C),
      "During",
      "After"
   )
 )</f>
        <v>During</v>
      </c>
      <c r="E280" s="1" t="s">
        <v>27</v>
      </c>
      <c r="F280" s="1" t="s">
        <v>28</v>
      </c>
      <c r="G280" s="5">
        <v>3507</v>
      </c>
      <c r="H280" s="5">
        <v>295</v>
      </c>
      <c r="I280" s="5">
        <v>371</v>
      </c>
      <c r="J280" s="5">
        <v>20410</v>
      </c>
      <c r="K280" s="5">
        <v>53965</v>
      </c>
      <c r="L280" s="5">
        <v>212</v>
      </c>
      <c r="M280" s="6">
        <f t="shared" si="8"/>
        <v>0.20445859872611466</v>
      </c>
      <c r="N280" s="5">
        <f t="shared" si="9"/>
        <v>4173</v>
      </c>
      <c r="O280" s="1" t="s">
        <v>18</v>
      </c>
      <c r="P280" s="27" t="s">
        <v>19</v>
      </c>
      <c r="Q280" s="27" t="s">
        <v>20</v>
      </c>
    </row>
    <row r="281" spans="1:17" ht="15.75" customHeight="1">
      <c r="A281" s="1" t="s">
        <v>318</v>
      </c>
      <c r="B281" s="1" t="s">
        <v>26</v>
      </c>
      <c r="C281" s="4">
        <v>45563</v>
      </c>
      <c r="D281" s="4" t="str">
        <f>IF(
   C281 &lt; _xlfn.XLOOKUP(O281,'Campaign Metadata'!A:A,'Campaign Metadata'!B:B),
   "Before",
   IF(
      C281 &lt;= _xlfn.XLOOKUP(O281,'Campaign Metadata'!A:A,'Campaign Metadata'!C:C),
      "During",
      "After"
   )
 )</f>
        <v>Before</v>
      </c>
      <c r="E281" s="1" t="s">
        <v>27</v>
      </c>
      <c r="F281" s="1" t="s">
        <v>31</v>
      </c>
      <c r="G281" s="5">
        <v>4471</v>
      </c>
      <c r="H281" s="5">
        <v>317</v>
      </c>
      <c r="I281" s="5">
        <v>249</v>
      </c>
      <c r="J281" s="5">
        <v>44862</v>
      </c>
      <c r="K281" s="5">
        <v>33365</v>
      </c>
      <c r="L281" s="5">
        <v>184</v>
      </c>
      <c r="M281" s="6">
        <f t="shared" si="8"/>
        <v>0.1122776514644911</v>
      </c>
      <c r="N281" s="5">
        <f t="shared" si="9"/>
        <v>5037</v>
      </c>
      <c r="O281" s="1" t="s">
        <v>18</v>
      </c>
      <c r="P281" s="27" t="s">
        <v>24</v>
      </c>
      <c r="Q281" s="27" t="s">
        <v>29</v>
      </c>
    </row>
    <row r="282" spans="1:17" ht="15.75" customHeight="1">
      <c r="A282" s="1" t="s">
        <v>319</v>
      </c>
      <c r="B282" s="1" t="s">
        <v>15</v>
      </c>
      <c r="C282" s="4">
        <v>45298</v>
      </c>
      <c r="D282" s="4" t="str">
        <f>IF(
   C282 &lt; _xlfn.XLOOKUP(O282,'Campaign Metadata'!A:A,'Campaign Metadata'!B:B),
   "Before",
   IF(
      C282 &lt;= _xlfn.XLOOKUP(O282,'Campaign Metadata'!A:A,'Campaign Metadata'!C:C),
      "During",
      "After"
   )
 )</f>
        <v>Before</v>
      </c>
      <c r="E282" s="1" t="s">
        <v>16</v>
      </c>
      <c r="F282" s="1" t="s">
        <v>42</v>
      </c>
      <c r="G282" s="5">
        <v>4931</v>
      </c>
      <c r="H282" s="5">
        <v>469</v>
      </c>
      <c r="I282" s="5">
        <v>193</v>
      </c>
      <c r="J282" s="5">
        <v>56701</v>
      </c>
      <c r="K282" s="5">
        <v>69437</v>
      </c>
      <c r="L282" s="5">
        <v>291</v>
      </c>
      <c r="M282" s="6">
        <f t="shared" si="8"/>
        <v>9.8640235621946709E-2</v>
      </c>
      <c r="N282" s="5">
        <f t="shared" si="9"/>
        <v>5593</v>
      </c>
      <c r="O282" s="1" t="s">
        <v>18</v>
      </c>
      <c r="P282" s="27" t="s">
        <v>19</v>
      </c>
      <c r="Q282" s="27" t="s">
        <v>20</v>
      </c>
    </row>
    <row r="283" spans="1:17" ht="15.75" customHeight="1">
      <c r="A283" s="1" t="s">
        <v>320</v>
      </c>
      <c r="B283" s="1" t="s">
        <v>26</v>
      </c>
      <c r="C283" s="4">
        <v>45343</v>
      </c>
      <c r="D283" s="4" t="str">
        <f>IF(
   C283 &lt; _xlfn.XLOOKUP(O283,'Campaign Metadata'!A:A,'Campaign Metadata'!B:B),
   "Before",
   IF(
      C283 &lt;= _xlfn.XLOOKUP(O283,'Campaign Metadata'!A:A,'Campaign Metadata'!C:C),
      "During",
      "After"
   )
 )</f>
        <v>Before</v>
      </c>
      <c r="E283" s="1" t="s">
        <v>27</v>
      </c>
      <c r="F283" s="1" t="s">
        <v>39</v>
      </c>
      <c r="G283" s="5">
        <v>2604</v>
      </c>
      <c r="H283" s="5">
        <v>439</v>
      </c>
      <c r="I283" s="5">
        <v>148</v>
      </c>
      <c r="J283" s="5">
        <v>58468</v>
      </c>
      <c r="K283" s="5">
        <v>39629</v>
      </c>
      <c r="L283" s="5">
        <v>163</v>
      </c>
      <c r="M283" s="6">
        <f t="shared" si="8"/>
        <v>5.4576862557296296E-2</v>
      </c>
      <c r="N283" s="5">
        <f t="shared" si="9"/>
        <v>3191</v>
      </c>
      <c r="O283" s="1" t="s">
        <v>18</v>
      </c>
      <c r="P283" s="27" t="s">
        <v>29</v>
      </c>
      <c r="Q283" s="27" t="s">
        <v>20</v>
      </c>
    </row>
    <row r="284" spans="1:17" ht="15.75" customHeight="1">
      <c r="A284" s="1" t="s">
        <v>321</v>
      </c>
      <c r="B284" s="1" t="s">
        <v>15</v>
      </c>
      <c r="C284" s="4">
        <v>45531</v>
      </c>
      <c r="D284" s="4" t="str">
        <f>IF(
   C284 &lt; _xlfn.XLOOKUP(O284,'Campaign Metadata'!A:A,'Campaign Metadata'!B:B),
   "Before",
   IF(
      C284 &lt;= _xlfn.XLOOKUP(O284,'Campaign Metadata'!A:A,'Campaign Metadata'!C:C),
      "During",
      "After"
   )
 )</f>
        <v>Before</v>
      </c>
      <c r="E284" s="1" t="s">
        <v>16</v>
      </c>
      <c r="F284" s="1" t="s">
        <v>34</v>
      </c>
      <c r="G284" s="5">
        <v>4197</v>
      </c>
      <c r="H284" s="5">
        <v>359</v>
      </c>
      <c r="I284" s="5">
        <v>280</v>
      </c>
      <c r="J284" s="5">
        <v>56048</v>
      </c>
      <c r="K284" s="5">
        <v>70930</v>
      </c>
      <c r="L284" s="5">
        <v>295</v>
      </c>
      <c r="M284" s="6">
        <f t="shared" si="8"/>
        <v>8.628318584070796E-2</v>
      </c>
      <c r="N284" s="5">
        <f t="shared" si="9"/>
        <v>4836</v>
      </c>
      <c r="O284" s="1" t="s">
        <v>23</v>
      </c>
      <c r="P284" s="27" t="s">
        <v>24</v>
      </c>
      <c r="Q284" s="27"/>
    </row>
    <row r="285" spans="1:17" ht="15.75" customHeight="1">
      <c r="A285" s="1" t="s">
        <v>322</v>
      </c>
      <c r="B285" s="1" t="s">
        <v>15</v>
      </c>
      <c r="C285" s="4">
        <v>45589</v>
      </c>
      <c r="D285" s="4" t="str">
        <f>IF(
   C285 &lt; _xlfn.XLOOKUP(O285,'Campaign Metadata'!A:A,'Campaign Metadata'!B:B),
   "Before",
   IF(
      C285 &lt;= _xlfn.XLOOKUP(O285,'Campaign Metadata'!A:A,'Campaign Metadata'!C:C),
      "During",
      "After"
   )
 )</f>
        <v>Before</v>
      </c>
      <c r="E285" s="1" t="s">
        <v>27</v>
      </c>
      <c r="F285" s="1" t="s">
        <v>42</v>
      </c>
      <c r="G285" s="5">
        <v>1914</v>
      </c>
      <c r="H285" s="5">
        <v>255</v>
      </c>
      <c r="I285" s="5">
        <v>156</v>
      </c>
      <c r="J285" s="5">
        <v>27660</v>
      </c>
      <c r="K285" s="5">
        <v>47776</v>
      </c>
      <c r="L285" s="5">
        <v>111</v>
      </c>
      <c r="M285" s="6">
        <f t="shared" si="8"/>
        <v>8.4056399132321047E-2</v>
      </c>
      <c r="N285" s="5">
        <f t="shared" si="9"/>
        <v>2325</v>
      </c>
      <c r="O285" s="1" t="s">
        <v>54</v>
      </c>
      <c r="P285" s="27" t="s">
        <v>20</v>
      </c>
      <c r="Q285" s="27"/>
    </row>
    <row r="286" spans="1:17" ht="15.75" customHeight="1">
      <c r="A286" s="1" t="s">
        <v>323</v>
      </c>
      <c r="B286" s="1" t="s">
        <v>33</v>
      </c>
      <c r="C286" s="4">
        <v>45686</v>
      </c>
      <c r="D286" s="4" t="str">
        <f>IF(
   C286 &lt; _xlfn.XLOOKUP(O286,'Campaign Metadata'!A:A,'Campaign Metadata'!B:B),
   "Before",
   IF(
      C286 &lt;= _xlfn.XLOOKUP(O286,'Campaign Metadata'!A:A,'Campaign Metadata'!C:C),
      "During",
      "After"
   )
 )</f>
        <v>Before</v>
      </c>
      <c r="E286" s="1" t="s">
        <v>16</v>
      </c>
      <c r="F286" s="1" t="s">
        <v>28</v>
      </c>
      <c r="G286" s="5">
        <v>1334</v>
      </c>
      <c r="H286" s="5">
        <v>357</v>
      </c>
      <c r="I286" s="5">
        <v>257</v>
      </c>
      <c r="J286" s="5">
        <v>56910</v>
      </c>
      <c r="K286" s="5">
        <v>70606</v>
      </c>
      <c r="L286" s="5">
        <v>228</v>
      </c>
      <c r="M286" s="6">
        <f t="shared" si="8"/>
        <v>3.4229485151994379E-2</v>
      </c>
      <c r="N286" s="5">
        <f t="shared" si="9"/>
        <v>1948</v>
      </c>
      <c r="O286" s="1" t="s">
        <v>23</v>
      </c>
      <c r="P286" s="27" t="s">
        <v>24</v>
      </c>
      <c r="Q286" s="27" t="s">
        <v>35</v>
      </c>
    </row>
    <row r="287" spans="1:17" ht="15.75" customHeight="1">
      <c r="A287" s="1" t="s">
        <v>324</v>
      </c>
      <c r="B287" s="1" t="s">
        <v>15</v>
      </c>
      <c r="C287" s="4">
        <v>45413</v>
      </c>
      <c r="D287" s="4" t="str">
        <f>IF(
   C287 &lt; _xlfn.XLOOKUP(O287,'Campaign Metadata'!A:A,'Campaign Metadata'!B:B),
   "Before",
   IF(
      C287 &lt;= _xlfn.XLOOKUP(O287,'Campaign Metadata'!A:A,'Campaign Metadata'!C:C),
      "During",
      "After"
   )
 )</f>
        <v>Before</v>
      </c>
      <c r="E287" s="1" t="s">
        <v>16</v>
      </c>
      <c r="F287" s="1" t="s">
        <v>39</v>
      </c>
      <c r="G287" s="5">
        <v>3359</v>
      </c>
      <c r="H287" s="5">
        <v>137</v>
      </c>
      <c r="I287" s="5">
        <v>387</v>
      </c>
      <c r="J287" s="5">
        <v>33861</v>
      </c>
      <c r="K287" s="5">
        <v>47257</v>
      </c>
      <c r="L287" s="5">
        <v>198</v>
      </c>
      <c r="M287" s="6">
        <f t="shared" si="8"/>
        <v>0.11467469950680724</v>
      </c>
      <c r="N287" s="5">
        <f t="shared" si="9"/>
        <v>3883</v>
      </c>
      <c r="O287" s="1" t="s">
        <v>23</v>
      </c>
      <c r="P287" s="27" t="s">
        <v>24</v>
      </c>
      <c r="Q287" s="27"/>
    </row>
    <row r="288" spans="1:17" ht="15.75" customHeight="1">
      <c r="A288" s="1" t="s">
        <v>325</v>
      </c>
      <c r="B288" s="1" t="s">
        <v>33</v>
      </c>
      <c r="C288" s="4">
        <v>45468</v>
      </c>
      <c r="D288" s="4" t="str">
        <f>IF(
   C288 &lt; _xlfn.XLOOKUP(O288,'Campaign Metadata'!A:A,'Campaign Metadata'!B:B),
   "Before",
   IF(
      C288 &lt;= _xlfn.XLOOKUP(O288,'Campaign Metadata'!A:A,'Campaign Metadata'!C:C),
      "During",
      "After"
   )
 )</f>
        <v>Before</v>
      </c>
      <c r="E288" s="1" t="s">
        <v>16</v>
      </c>
      <c r="F288" s="1" t="s">
        <v>50</v>
      </c>
      <c r="G288" s="5">
        <v>2172</v>
      </c>
      <c r="H288" s="5">
        <v>338</v>
      </c>
      <c r="I288" s="5">
        <v>70</v>
      </c>
      <c r="J288" s="5">
        <v>30515</v>
      </c>
      <c r="K288" s="5">
        <v>57853</v>
      </c>
      <c r="L288" s="5">
        <v>156</v>
      </c>
      <c r="M288" s="6">
        <f t="shared" si="8"/>
        <v>8.4548582664263475E-2</v>
      </c>
      <c r="N288" s="5">
        <f t="shared" si="9"/>
        <v>2580</v>
      </c>
      <c r="O288" s="1" t="s">
        <v>23</v>
      </c>
      <c r="P288" s="27" t="s">
        <v>24</v>
      </c>
      <c r="Q288" s="27" t="s">
        <v>35</v>
      </c>
    </row>
    <row r="289" spans="1:17" ht="15.75" customHeight="1">
      <c r="A289" s="1" t="s">
        <v>326</v>
      </c>
      <c r="B289" s="1" t="s">
        <v>26</v>
      </c>
      <c r="C289" s="4">
        <v>45513</v>
      </c>
      <c r="D289" s="4" t="str">
        <f>IF(
   C289 &lt; _xlfn.XLOOKUP(O289,'Campaign Metadata'!A:A,'Campaign Metadata'!B:B),
   "Before",
   IF(
      C289 &lt;= _xlfn.XLOOKUP(O289,'Campaign Metadata'!A:A,'Campaign Metadata'!C:C),
      "During",
      "After"
   )
 )</f>
        <v>Before</v>
      </c>
      <c r="E289" s="1" t="s">
        <v>27</v>
      </c>
      <c r="F289" s="1" t="s">
        <v>48</v>
      </c>
      <c r="G289" s="5">
        <v>4877</v>
      </c>
      <c r="H289" s="5">
        <v>442</v>
      </c>
      <c r="I289" s="5">
        <v>236</v>
      </c>
      <c r="J289" s="5">
        <v>52673</v>
      </c>
      <c r="K289" s="5">
        <v>48241</v>
      </c>
      <c r="L289" s="5">
        <v>114</v>
      </c>
      <c r="M289" s="6">
        <f t="shared" si="8"/>
        <v>0.10546200140489435</v>
      </c>
      <c r="N289" s="5">
        <f t="shared" si="9"/>
        <v>5555</v>
      </c>
      <c r="O289" s="1" t="s">
        <v>18</v>
      </c>
      <c r="P289" s="27" t="s">
        <v>24</v>
      </c>
      <c r="Q289" s="27" t="s">
        <v>29</v>
      </c>
    </row>
    <row r="290" spans="1:17" ht="15.75" customHeight="1">
      <c r="A290" s="1" t="s">
        <v>327</v>
      </c>
      <c r="B290" s="1" t="s">
        <v>15</v>
      </c>
      <c r="C290" s="4">
        <v>45678</v>
      </c>
      <c r="D290" s="4" t="str">
        <f>IF(
   C290 &lt; _xlfn.XLOOKUP(O290,'Campaign Metadata'!A:A,'Campaign Metadata'!B:B),
   "Before",
   IF(
      C290 &lt;= _xlfn.XLOOKUP(O290,'Campaign Metadata'!A:A,'Campaign Metadata'!C:C),
      "During",
      "After"
   )
 )</f>
        <v>After</v>
      </c>
      <c r="E290" s="1" t="s">
        <v>27</v>
      </c>
      <c r="F290" s="1" t="s">
        <v>28</v>
      </c>
      <c r="G290" s="5">
        <v>4918</v>
      </c>
      <c r="H290" s="5">
        <v>440</v>
      </c>
      <c r="I290" s="5">
        <v>149</v>
      </c>
      <c r="J290" s="5">
        <v>53269</v>
      </c>
      <c r="K290" s="5">
        <v>64370</v>
      </c>
      <c r="L290" s="5">
        <v>269</v>
      </c>
      <c r="M290" s="6">
        <f t="shared" si="8"/>
        <v>0.10338095327488783</v>
      </c>
      <c r="N290" s="5">
        <f t="shared" si="9"/>
        <v>5507</v>
      </c>
      <c r="O290" s="1" t="s">
        <v>54</v>
      </c>
      <c r="P290" s="27" t="s">
        <v>20</v>
      </c>
      <c r="Q290" s="27"/>
    </row>
    <row r="291" spans="1:17" ht="15.75" customHeight="1">
      <c r="A291" s="1" t="s">
        <v>328</v>
      </c>
      <c r="B291" s="1" t="s">
        <v>26</v>
      </c>
      <c r="C291" s="4">
        <v>45517</v>
      </c>
      <c r="D291" s="4" t="str">
        <f>IF(
   C291 &lt; _xlfn.XLOOKUP(O291,'Campaign Metadata'!A:A,'Campaign Metadata'!B:B),
   "Before",
   IF(
      C291 &lt;= _xlfn.XLOOKUP(O291,'Campaign Metadata'!A:A,'Campaign Metadata'!C:C),
      "During",
      "After"
   )
 )</f>
        <v>Before</v>
      </c>
      <c r="E291" s="1" t="s">
        <v>16</v>
      </c>
      <c r="F291" s="1" t="s">
        <v>22</v>
      </c>
      <c r="G291" s="5">
        <v>3418</v>
      </c>
      <c r="H291" s="5">
        <v>107</v>
      </c>
      <c r="I291" s="5">
        <v>221</v>
      </c>
      <c r="J291" s="5">
        <v>23927</v>
      </c>
      <c r="K291" s="5">
        <v>26182</v>
      </c>
      <c r="L291" s="5">
        <v>155</v>
      </c>
      <c r="M291" s="6">
        <f t="shared" si="8"/>
        <v>0.1565595352530614</v>
      </c>
      <c r="N291" s="5">
        <f t="shared" si="9"/>
        <v>3746</v>
      </c>
      <c r="O291" s="1" t="s">
        <v>23</v>
      </c>
      <c r="P291" s="27" t="s">
        <v>19</v>
      </c>
      <c r="Q291" s="27"/>
    </row>
    <row r="292" spans="1:17" ht="15.75" customHeight="1">
      <c r="A292" s="1" t="s">
        <v>329</v>
      </c>
      <c r="B292" s="1" t="s">
        <v>15</v>
      </c>
      <c r="C292" s="4">
        <v>45472</v>
      </c>
      <c r="D292" s="4" t="str">
        <f>IF(
   C292 &lt; _xlfn.XLOOKUP(O292,'Campaign Metadata'!A:A,'Campaign Metadata'!B:B),
   "Before",
   IF(
      C292 &lt;= _xlfn.XLOOKUP(O292,'Campaign Metadata'!A:A,'Campaign Metadata'!C:C),
      "During",
      "After"
   )
 )</f>
        <v>Before</v>
      </c>
      <c r="E292" s="1" t="s">
        <v>16</v>
      </c>
      <c r="F292" s="1" t="s">
        <v>50</v>
      </c>
      <c r="G292" s="5">
        <v>2088</v>
      </c>
      <c r="H292" s="5">
        <v>490</v>
      </c>
      <c r="I292" s="5">
        <v>124</v>
      </c>
      <c r="J292" s="5">
        <v>46544</v>
      </c>
      <c r="K292" s="5">
        <v>69346</v>
      </c>
      <c r="L292" s="5">
        <v>178</v>
      </c>
      <c r="M292" s="6">
        <f t="shared" si="8"/>
        <v>5.8052595393606049E-2</v>
      </c>
      <c r="N292" s="5">
        <f t="shared" si="9"/>
        <v>2702</v>
      </c>
      <c r="O292" s="1" t="s">
        <v>18</v>
      </c>
      <c r="P292" s="27" t="s">
        <v>19</v>
      </c>
      <c r="Q292" s="27" t="s">
        <v>20</v>
      </c>
    </row>
    <row r="293" spans="1:17" ht="15.75" customHeight="1">
      <c r="A293" s="1" t="s">
        <v>330</v>
      </c>
      <c r="B293" s="1" t="s">
        <v>26</v>
      </c>
      <c r="C293" s="4">
        <v>45599</v>
      </c>
      <c r="D293" s="4" t="str">
        <f>IF(
   C293 &lt; _xlfn.XLOOKUP(O293,'Campaign Metadata'!A:A,'Campaign Metadata'!B:B),
   "Before",
   IF(
      C293 &lt;= _xlfn.XLOOKUP(O293,'Campaign Metadata'!A:A,'Campaign Metadata'!C:C),
      "During",
      "After"
   )
 )</f>
        <v>Before</v>
      </c>
      <c r="E293" s="1" t="s">
        <v>27</v>
      </c>
      <c r="F293" s="1" t="s">
        <v>22</v>
      </c>
      <c r="G293" s="5">
        <v>3061</v>
      </c>
      <c r="H293" s="5">
        <v>320</v>
      </c>
      <c r="I293" s="5">
        <v>76</v>
      </c>
      <c r="J293" s="5">
        <v>26640</v>
      </c>
      <c r="K293" s="5">
        <v>24306</v>
      </c>
      <c r="L293" s="5">
        <v>112</v>
      </c>
      <c r="M293" s="6">
        <f t="shared" si="8"/>
        <v>0.12976726726726726</v>
      </c>
      <c r="N293" s="5">
        <f t="shared" si="9"/>
        <v>3457</v>
      </c>
      <c r="O293" s="1" t="s">
        <v>18</v>
      </c>
      <c r="P293" s="27" t="s">
        <v>29</v>
      </c>
      <c r="Q293" s="27" t="s">
        <v>20</v>
      </c>
    </row>
    <row r="294" spans="1:17" ht="15.75" customHeight="1">
      <c r="A294" s="1" t="s">
        <v>331</v>
      </c>
      <c r="B294" s="1" t="s">
        <v>33</v>
      </c>
      <c r="C294" s="4">
        <v>45765</v>
      </c>
      <c r="D294" s="4" t="str">
        <f>IF(
   C294 &lt; _xlfn.XLOOKUP(O294,'Campaign Metadata'!A:A,'Campaign Metadata'!B:B),
   "Before",
   IF(
      C294 &lt;= _xlfn.XLOOKUP(O294,'Campaign Metadata'!A:A,'Campaign Metadata'!C:C),
      "During",
      "After"
   )
 )</f>
        <v>After</v>
      </c>
      <c r="E294" s="1" t="s">
        <v>56</v>
      </c>
      <c r="F294" s="1" t="s">
        <v>50</v>
      </c>
      <c r="G294" s="5">
        <v>1265</v>
      </c>
      <c r="H294" s="5">
        <v>230</v>
      </c>
      <c r="I294" s="5">
        <v>364</v>
      </c>
      <c r="J294" s="5">
        <v>41312</v>
      </c>
      <c r="K294" s="5">
        <v>50382</v>
      </c>
      <c r="L294" s="5">
        <v>106</v>
      </c>
      <c r="M294" s="6">
        <f t="shared" si="8"/>
        <v>4.4999031758326875E-2</v>
      </c>
      <c r="N294" s="5">
        <f t="shared" si="9"/>
        <v>1859</v>
      </c>
      <c r="O294" s="1" t="s">
        <v>57</v>
      </c>
      <c r="P294" s="27" t="s">
        <v>24</v>
      </c>
      <c r="Q294" s="27" t="s">
        <v>19</v>
      </c>
    </row>
    <row r="295" spans="1:17" ht="15.75" customHeight="1">
      <c r="A295" s="1" t="s">
        <v>332</v>
      </c>
      <c r="B295" s="1" t="s">
        <v>15</v>
      </c>
      <c r="C295" s="4">
        <v>45653</v>
      </c>
      <c r="D295" s="4" t="str">
        <f>IF(
   C295 &lt; _xlfn.XLOOKUP(O295,'Campaign Metadata'!A:A,'Campaign Metadata'!B:B),
   "Before",
   IF(
      C295 &lt;= _xlfn.XLOOKUP(O295,'Campaign Metadata'!A:A,'Campaign Metadata'!C:C),
      "During",
      "After"
   )
 )</f>
        <v>Before</v>
      </c>
      <c r="E295" s="1" t="s">
        <v>16</v>
      </c>
      <c r="F295" s="1" t="s">
        <v>48</v>
      </c>
      <c r="G295" s="5">
        <v>1436</v>
      </c>
      <c r="H295" s="5">
        <v>219</v>
      </c>
      <c r="I295" s="5">
        <v>229</v>
      </c>
      <c r="J295" s="5">
        <v>58488</v>
      </c>
      <c r="K295" s="5">
        <v>24314</v>
      </c>
      <c r="L295" s="5">
        <v>147</v>
      </c>
      <c r="M295" s="6">
        <f t="shared" si="8"/>
        <v>3.221173574066475E-2</v>
      </c>
      <c r="N295" s="5">
        <f t="shared" si="9"/>
        <v>1884</v>
      </c>
      <c r="O295" s="1" t="s">
        <v>23</v>
      </c>
      <c r="P295" s="27" t="s">
        <v>24</v>
      </c>
      <c r="Q295" s="27"/>
    </row>
    <row r="296" spans="1:17" ht="15.75" customHeight="1">
      <c r="A296" s="1" t="s">
        <v>333</v>
      </c>
      <c r="B296" s="1" t="s">
        <v>15</v>
      </c>
      <c r="C296" s="4">
        <v>45724</v>
      </c>
      <c r="D296" s="4" t="str">
        <f>IF(
   C296 &lt; _xlfn.XLOOKUP(O296,'Campaign Metadata'!A:A,'Campaign Metadata'!B:B),
   "Before",
   IF(
      C296 &lt;= _xlfn.XLOOKUP(O296,'Campaign Metadata'!A:A,'Campaign Metadata'!C:C),
      "During",
      "After"
   )
 )</f>
        <v>After</v>
      </c>
      <c r="E296" s="1" t="s">
        <v>27</v>
      </c>
      <c r="F296" s="1" t="s">
        <v>42</v>
      </c>
      <c r="G296" s="5">
        <v>2244</v>
      </c>
      <c r="H296" s="5">
        <v>392</v>
      </c>
      <c r="I296" s="5">
        <v>231</v>
      </c>
      <c r="J296" s="5">
        <v>25834</v>
      </c>
      <c r="K296" s="5">
        <v>50906</v>
      </c>
      <c r="L296" s="5">
        <v>165</v>
      </c>
      <c r="M296" s="6">
        <f t="shared" si="8"/>
        <v>0.1109777812185492</v>
      </c>
      <c r="N296" s="5">
        <f t="shared" si="9"/>
        <v>2867</v>
      </c>
      <c r="O296" s="1" t="s">
        <v>54</v>
      </c>
      <c r="P296" s="27" t="s">
        <v>20</v>
      </c>
      <c r="Q296" s="27"/>
    </row>
    <row r="297" spans="1:17" ht="15.75" customHeight="1">
      <c r="A297" s="1" t="s">
        <v>334</v>
      </c>
      <c r="B297" s="1" t="s">
        <v>26</v>
      </c>
      <c r="C297" s="4">
        <v>45736</v>
      </c>
      <c r="D297" s="4" t="str">
        <f>IF(
   C297 &lt; _xlfn.XLOOKUP(O297,'Campaign Metadata'!A:A,'Campaign Metadata'!B:B),
   "Before",
   IF(
      C297 &lt;= _xlfn.XLOOKUP(O297,'Campaign Metadata'!A:A,'Campaign Metadata'!C:C),
      "During",
      "After"
   )
 )</f>
        <v>After</v>
      </c>
      <c r="E297" s="1" t="s">
        <v>27</v>
      </c>
      <c r="F297" s="1" t="s">
        <v>50</v>
      </c>
      <c r="G297" s="5">
        <v>3393</v>
      </c>
      <c r="H297" s="5">
        <v>104</v>
      </c>
      <c r="I297" s="5">
        <v>79</v>
      </c>
      <c r="J297" s="5">
        <v>30025</v>
      </c>
      <c r="K297" s="5">
        <v>21593</v>
      </c>
      <c r="L297" s="5">
        <v>165</v>
      </c>
      <c r="M297" s="6">
        <f t="shared" si="8"/>
        <v>0.1191007493755204</v>
      </c>
      <c r="N297" s="5">
        <f t="shared" si="9"/>
        <v>3576</v>
      </c>
      <c r="O297" s="1" t="s">
        <v>18</v>
      </c>
      <c r="P297" s="27" t="s">
        <v>29</v>
      </c>
      <c r="Q297" s="27" t="s">
        <v>20</v>
      </c>
    </row>
    <row r="298" spans="1:17" ht="15.75" customHeight="1">
      <c r="A298" s="1" t="s">
        <v>335</v>
      </c>
      <c r="B298" s="1" t="s">
        <v>26</v>
      </c>
      <c r="C298" s="4">
        <v>45612</v>
      </c>
      <c r="D298" s="4" t="str">
        <f>IF(
   C298 &lt; _xlfn.XLOOKUP(O298,'Campaign Metadata'!A:A,'Campaign Metadata'!B:B),
   "Before",
   IF(
      C298 &lt;= _xlfn.XLOOKUP(O298,'Campaign Metadata'!A:A,'Campaign Metadata'!C:C),
      "During",
      "After"
   )
 )</f>
        <v>Before</v>
      </c>
      <c r="E298" s="1" t="s">
        <v>16</v>
      </c>
      <c r="F298" s="1" t="s">
        <v>22</v>
      </c>
      <c r="G298" s="5">
        <v>2901</v>
      </c>
      <c r="H298" s="5">
        <v>108</v>
      </c>
      <c r="I298" s="5">
        <v>86</v>
      </c>
      <c r="J298" s="5">
        <v>51777</v>
      </c>
      <c r="K298" s="5">
        <v>23773</v>
      </c>
      <c r="L298" s="5">
        <v>160</v>
      </c>
      <c r="M298" s="6">
        <f t="shared" si="8"/>
        <v>5.9775576027966085E-2</v>
      </c>
      <c r="N298" s="5">
        <f t="shared" si="9"/>
        <v>3095</v>
      </c>
      <c r="O298" s="1" t="s">
        <v>23</v>
      </c>
      <c r="P298" s="27" t="s">
        <v>19</v>
      </c>
      <c r="Q298" s="27"/>
    </row>
    <row r="299" spans="1:17" ht="15.75" customHeight="1">
      <c r="A299" s="1" t="s">
        <v>336</v>
      </c>
      <c r="B299" s="1" t="s">
        <v>26</v>
      </c>
      <c r="C299" s="4">
        <v>45838</v>
      </c>
      <c r="D299" s="4" t="str">
        <f>IF(
   C299 &lt; _xlfn.XLOOKUP(O299,'Campaign Metadata'!A:A,'Campaign Metadata'!B:B),
   "Before",
   IF(
      C299 &lt;= _xlfn.XLOOKUP(O299,'Campaign Metadata'!A:A,'Campaign Metadata'!C:C),
      "During",
      "After"
   )
 )</f>
        <v>After</v>
      </c>
      <c r="E299" s="1" t="s">
        <v>16</v>
      </c>
      <c r="F299" s="1" t="s">
        <v>37</v>
      </c>
      <c r="G299" s="5">
        <v>2275</v>
      </c>
      <c r="H299" s="5">
        <v>285</v>
      </c>
      <c r="I299" s="5">
        <v>125</v>
      </c>
      <c r="J299" s="5">
        <v>43970</v>
      </c>
      <c r="K299" s="5">
        <v>74761</v>
      </c>
      <c r="L299" s="5">
        <v>83</v>
      </c>
      <c r="M299" s="6">
        <f t="shared" si="8"/>
        <v>6.1064362065044349E-2</v>
      </c>
      <c r="N299" s="5">
        <f t="shared" si="9"/>
        <v>2685</v>
      </c>
      <c r="O299" s="1" t="s">
        <v>18</v>
      </c>
      <c r="P299" s="27" t="s">
        <v>20</v>
      </c>
      <c r="Q299" s="27"/>
    </row>
    <row r="300" spans="1:17" ht="15.75" customHeight="1">
      <c r="A300" s="1" t="s">
        <v>337</v>
      </c>
      <c r="B300" s="1" t="s">
        <v>26</v>
      </c>
      <c r="C300" s="4">
        <v>45303</v>
      </c>
      <c r="D300" s="4" t="str">
        <f>IF(
   C300 &lt; _xlfn.XLOOKUP(O300,'Campaign Metadata'!A:A,'Campaign Metadata'!B:B),
   "Before",
   IF(
      C300 &lt;= _xlfn.XLOOKUP(O300,'Campaign Metadata'!A:A,'Campaign Metadata'!C:C),
      "During",
      "After"
   )
 )</f>
        <v>Before</v>
      </c>
      <c r="E300" s="1" t="s">
        <v>27</v>
      </c>
      <c r="F300" s="1" t="s">
        <v>31</v>
      </c>
      <c r="G300" s="5">
        <v>2227</v>
      </c>
      <c r="H300" s="5">
        <v>494</v>
      </c>
      <c r="I300" s="5">
        <v>161</v>
      </c>
      <c r="J300" s="5">
        <v>51651</v>
      </c>
      <c r="K300" s="5">
        <v>68074</v>
      </c>
      <c r="L300" s="5">
        <v>240</v>
      </c>
      <c r="M300" s="6">
        <f t="shared" si="8"/>
        <v>5.5797564422760453E-2</v>
      </c>
      <c r="N300" s="5">
        <f t="shared" si="9"/>
        <v>2882</v>
      </c>
      <c r="O300" s="1" t="s">
        <v>18</v>
      </c>
      <c r="P300" s="27" t="s">
        <v>24</v>
      </c>
      <c r="Q300" s="27" t="s">
        <v>29</v>
      </c>
    </row>
    <row r="301" spans="1:17" ht="15.75" customHeight="1">
      <c r="A301" s="1" t="s">
        <v>338</v>
      </c>
      <c r="B301" s="1" t="s">
        <v>15</v>
      </c>
      <c r="C301" s="4">
        <v>45329</v>
      </c>
      <c r="D301" s="4" t="str">
        <f>IF(
   C301 &lt; _xlfn.XLOOKUP(O301,'Campaign Metadata'!A:A,'Campaign Metadata'!B:B),
   "Before",
   IF(
      C301 &lt;= _xlfn.XLOOKUP(O301,'Campaign Metadata'!A:A,'Campaign Metadata'!C:C),
      "During",
      "After"
   )
 )</f>
        <v>Before</v>
      </c>
      <c r="E301" s="1" t="s">
        <v>16</v>
      </c>
      <c r="F301" s="1" t="s">
        <v>34</v>
      </c>
      <c r="G301" s="5">
        <v>1883</v>
      </c>
      <c r="H301" s="5">
        <v>432</v>
      </c>
      <c r="I301" s="5">
        <v>397</v>
      </c>
      <c r="J301" s="5">
        <v>28759</v>
      </c>
      <c r="K301" s="5">
        <v>18691</v>
      </c>
      <c r="L301" s="5">
        <v>270</v>
      </c>
      <c r="M301" s="6">
        <f t="shared" si="8"/>
        <v>9.4300914496331587E-2</v>
      </c>
      <c r="N301" s="5">
        <f t="shared" si="9"/>
        <v>2712</v>
      </c>
      <c r="O301" s="1" t="s">
        <v>18</v>
      </c>
      <c r="P301" s="27" t="s">
        <v>19</v>
      </c>
      <c r="Q301" s="27" t="s">
        <v>20</v>
      </c>
    </row>
    <row r="302" spans="1:17" ht="15.75" customHeight="1"/>
    <row r="303" spans="1:17" ht="15.75" customHeight="1"/>
    <row r="304" spans="1:17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6E46-5F81-437D-A55D-4BAFA1851930}">
  <dimension ref="A1:O6"/>
  <sheetViews>
    <sheetView workbookViewId="0">
      <selection activeCell="G12" sqref="G12"/>
    </sheetView>
  </sheetViews>
  <sheetFormatPr defaultRowHeight="14.4"/>
  <cols>
    <col min="1" max="1" width="12.5546875" bestFit="1" customWidth="1"/>
    <col min="2" max="2" width="17.6640625" bestFit="1" customWidth="1"/>
    <col min="3" max="3" width="20.77734375" bestFit="1" customWidth="1"/>
    <col min="4" max="4" width="14.77734375" bestFit="1" customWidth="1"/>
    <col min="5" max="5" width="11.5546875" bestFit="1" customWidth="1"/>
    <col min="6" max="6" width="12.109375" bestFit="1" customWidth="1"/>
    <col min="7" max="7" width="15.33203125" bestFit="1" customWidth="1"/>
  </cols>
  <sheetData>
    <row r="1" spans="1:15" ht="18">
      <c r="A1" s="12" t="s">
        <v>366</v>
      </c>
      <c r="B1" s="12" t="s">
        <v>362</v>
      </c>
      <c r="C1" s="12" t="s">
        <v>368</v>
      </c>
      <c r="D1" s="12" t="s">
        <v>364</v>
      </c>
      <c r="E1" s="12" t="s">
        <v>363</v>
      </c>
      <c r="F1" s="12" t="s">
        <v>365</v>
      </c>
      <c r="G1" s="12" t="s">
        <v>369</v>
      </c>
      <c r="I1" s="19" t="s">
        <v>382</v>
      </c>
      <c r="J1" s="18"/>
      <c r="K1" s="18"/>
      <c r="L1" s="18"/>
      <c r="M1" s="18"/>
      <c r="N1" s="18"/>
      <c r="O1" s="18"/>
    </row>
    <row r="2" spans="1:15">
      <c r="A2" s="10" t="s">
        <v>18</v>
      </c>
      <c r="B2">
        <v>6331868</v>
      </c>
      <c r="C2" s="9">
        <v>41116.025974025972</v>
      </c>
      <c r="D2" s="9">
        <v>3058.6623376623374</v>
      </c>
      <c r="E2">
        <v>471034</v>
      </c>
      <c r="F2">
        <v>28708</v>
      </c>
      <c r="G2" s="9">
        <v>186.41558441558442</v>
      </c>
      <c r="I2" s="18"/>
      <c r="J2" s="18"/>
      <c r="K2" s="18"/>
      <c r="L2" s="18"/>
      <c r="M2" s="18"/>
      <c r="N2" s="18"/>
      <c r="O2" s="18"/>
    </row>
    <row r="3" spans="1:15">
      <c r="A3" s="10" t="s">
        <v>23</v>
      </c>
      <c r="B3">
        <v>4039305</v>
      </c>
      <c r="C3" s="9">
        <v>42971.329787234041</v>
      </c>
      <c r="D3" s="9">
        <v>2919.7340425531916</v>
      </c>
      <c r="E3">
        <v>274455</v>
      </c>
      <c r="F3">
        <v>18717</v>
      </c>
      <c r="G3" s="9">
        <v>199.11702127659575</v>
      </c>
      <c r="I3" s="18" t="s">
        <v>383</v>
      </c>
      <c r="J3" s="18"/>
      <c r="K3" s="18"/>
      <c r="L3" s="18"/>
      <c r="M3" s="18"/>
      <c r="N3" s="18"/>
      <c r="O3" s="18"/>
    </row>
    <row r="4" spans="1:15">
      <c r="A4" s="10" t="s">
        <v>57</v>
      </c>
      <c r="B4">
        <v>1233853</v>
      </c>
      <c r="C4" s="9">
        <v>42546.65517241379</v>
      </c>
      <c r="D4" s="9">
        <v>3099</v>
      </c>
      <c r="E4">
        <v>89871</v>
      </c>
      <c r="F4">
        <v>5557</v>
      </c>
      <c r="G4" s="9">
        <v>191.62068965517241</v>
      </c>
      <c r="I4" s="18" t="s">
        <v>384</v>
      </c>
      <c r="J4" s="18"/>
      <c r="K4" s="18"/>
      <c r="L4" s="18"/>
      <c r="M4" s="18"/>
      <c r="N4" s="18"/>
      <c r="O4" s="18"/>
    </row>
    <row r="5" spans="1:15">
      <c r="A5" s="10" t="s">
        <v>54</v>
      </c>
      <c r="B5">
        <v>865406</v>
      </c>
      <c r="C5" s="9">
        <v>37626.34782608696</v>
      </c>
      <c r="D5" s="9">
        <v>2687.608695652174</v>
      </c>
      <c r="E5">
        <v>61815</v>
      </c>
      <c r="F5">
        <v>4614</v>
      </c>
      <c r="G5" s="9">
        <v>200.60869565217391</v>
      </c>
      <c r="I5" s="18" t="s">
        <v>385</v>
      </c>
      <c r="J5" s="18"/>
      <c r="K5" s="18"/>
      <c r="L5" s="18"/>
      <c r="M5" s="18"/>
      <c r="N5" s="18"/>
      <c r="O5" s="18"/>
    </row>
    <row r="6" spans="1:15">
      <c r="A6" s="13" t="s">
        <v>367</v>
      </c>
      <c r="B6" s="12">
        <v>12470432</v>
      </c>
      <c r="C6" s="20">
        <v>41568.106666666667</v>
      </c>
      <c r="D6" s="20">
        <v>2990.5833333333335</v>
      </c>
      <c r="E6" s="12">
        <v>897175</v>
      </c>
      <c r="F6" s="12">
        <v>57596</v>
      </c>
      <c r="G6" s="20">
        <v>191.98666666666668</v>
      </c>
      <c r="I6" s="18"/>
      <c r="J6" s="18"/>
      <c r="K6" s="18"/>
      <c r="L6" s="18"/>
      <c r="M6" s="18"/>
      <c r="N6" s="18"/>
      <c r="O6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D3F4-7C1F-4028-8DC5-5FD54FD908F0}">
  <dimension ref="A1:O7"/>
  <sheetViews>
    <sheetView workbookViewId="0">
      <selection activeCell="F5" sqref="F5"/>
    </sheetView>
  </sheetViews>
  <sheetFormatPr defaultRowHeight="14.4"/>
  <cols>
    <col min="1" max="1" width="24.6640625" bestFit="1" customWidth="1"/>
    <col min="2" max="2" width="7.44140625" customWidth="1"/>
    <col min="3" max="3" width="6.5546875" bestFit="1" customWidth="1"/>
    <col min="4" max="4" width="7" bestFit="1" customWidth="1"/>
    <col min="5" max="5" width="10.77734375" bestFit="1" customWidth="1"/>
    <col min="6" max="6" width="18.21875" customWidth="1"/>
  </cols>
  <sheetData>
    <row r="1" spans="1:15">
      <c r="A1" s="12" t="s">
        <v>375</v>
      </c>
      <c r="B1" s="12" t="s">
        <v>371</v>
      </c>
      <c r="C1" s="12"/>
      <c r="D1" s="12"/>
      <c r="E1" s="12"/>
      <c r="F1" s="33" t="s">
        <v>376</v>
      </c>
    </row>
    <row r="2" spans="1:15">
      <c r="A2" s="16" t="s">
        <v>366</v>
      </c>
      <c r="B2" s="16" t="s">
        <v>372</v>
      </c>
      <c r="C2" s="16" t="s">
        <v>373</v>
      </c>
      <c r="D2" s="16" t="s">
        <v>374</v>
      </c>
      <c r="E2" s="16" t="s">
        <v>367</v>
      </c>
      <c r="F2" s="33"/>
    </row>
    <row r="3" spans="1:15">
      <c r="A3" s="10" t="s">
        <v>18</v>
      </c>
      <c r="B3" s="11">
        <v>9.6937628782019974E-2</v>
      </c>
      <c r="C3" s="11">
        <v>9.2728032024704268E-2</v>
      </c>
      <c r="D3" s="11">
        <v>0.12086180294512508</v>
      </c>
      <c r="E3" s="11">
        <v>9.5830988845595544E-2</v>
      </c>
      <c r="F3" s="26">
        <f>GETPIVOTDATA("Engagment Rate",$A$1,"Campaign Phase","During","Campaign_Name","ChillVibes")-GETPIVOTDATA("Engagment Rate",$A$1,"Campaign Phase","Before","Campaign_Name","ChillVibes")</f>
        <v>2.8133770920420811E-2</v>
      </c>
    </row>
    <row r="4" spans="1:15">
      <c r="A4" s="10" t="s">
        <v>23</v>
      </c>
      <c r="B4" s="11">
        <v>8.5210186146325667E-2</v>
      </c>
      <c r="C4" s="11">
        <v>8.6673079357551627E-2</v>
      </c>
      <c r="D4" s="11">
        <v>0.11095871200554182</v>
      </c>
      <c r="E4" s="11">
        <v>8.805203649121604E-2</v>
      </c>
      <c r="F4" s="26">
        <f>GETPIVOTDATA("Engagment Rate",$A$1,"Campaign Phase","During","Campaign_Name","IndieWave")-GETPIVOTDATA("Engagment Rate",$A$1,"Campaign Phase","Before","Campaign_Name","IndieWave")</f>
        <v>2.4285632647990191E-2</v>
      </c>
      <c r="H4" s="25" t="s">
        <v>386</v>
      </c>
      <c r="I4" s="25"/>
      <c r="J4" s="25"/>
      <c r="K4" s="25"/>
      <c r="L4" s="25"/>
      <c r="M4" s="25"/>
      <c r="N4" s="25"/>
      <c r="O4" s="25"/>
    </row>
    <row r="5" spans="1:15">
      <c r="A5" s="10" t="s">
        <v>57</v>
      </c>
      <c r="B5" s="11">
        <v>8.3934545078430817E-2</v>
      </c>
      <c r="C5" s="11">
        <v>9.7485783233735052E-2</v>
      </c>
      <c r="D5" s="11">
        <v>7.8574756612039942E-2</v>
      </c>
      <c r="E5" s="11">
        <v>9.0106881535033476E-2</v>
      </c>
      <c r="F5" s="26">
        <f>GETPIVOTDATA("Engagment Rate",$A$1,"Campaign Phase","During","Campaign_Name","SummerBeats")-GETPIVOTDATA("Engagment Rate",$A$1,"Campaign Phase","Before","Campaign_Name","SummerBeats")</f>
        <v>-1.891102662169511E-2</v>
      </c>
      <c r="H5" s="25" t="s">
        <v>387</v>
      </c>
      <c r="I5" s="25"/>
      <c r="J5" s="25"/>
      <c r="K5" s="25"/>
      <c r="L5" s="25"/>
      <c r="M5" s="25"/>
      <c r="N5" s="25"/>
      <c r="O5" s="25"/>
    </row>
    <row r="6" spans="1:15">
      <c r="A6" s="10" t="s">
        <v>54</v>
      </c>
      <c r="B6" s="11">
        <v>0.10476809834244385</v>
      </c>
      <c r="C6" s="11">
        <v>8.7074450092926969E-2</v>
      </c>
      <c r="D6" s="11">
        <v>9.5604953356204198E-2</v>
      </c>
      <c r="E6" s="11">
        <v>9.5509123528654066E-2</v>
      </c>
      <c r="F6" s="26">
        <f>GETPIVOTDATA("Engagment Rate",$A$1,"Campaign Phase","During","Campaign_Name","Wrapped2024")-GETPIVOTDATA("Engagment Rate",$A$1,"Campaign Phase","Before","Campaign_Name","Wrapped2024")</f>
        <v>8.5305032632772282E-3</v>
      </c>
      <c r="H6" s="25" t="s">
        <v>388</v>
      </c>
      <c r="I6" s="25"/>
      <c r="J6" s="25"/>
      <c r="K6" s="25"/>
      <c r="L6" s="25"/>
      <c r="M6" s="25"/>
      <c r="N6" s="25"/>
      <c r="O6" s="25"/>
    </row>
    <row r="7" spans="1:15">
      <c r="A7" s="13" t="s">
        <v>367</v>
      </c>
      <c r="B7" s="14">
        <v>9.3968206328843548E-2</v>
      </c>
      <c r="C7" s="14">
        <v>9.0475289392051211E-2</v>
      </c>
      <c r="D7" s="14">
        <v>0.11159959639838643</v>
      </c>
      <c r="E7" s="14">
        <v>9.2815577060236784E-2</v>
      </c>
      <c r="F7" s="15"/>
    </row>
  </sheetData>
  <mergeCells count="1">
    <mergeCell ref="F1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5E9B-C085-457B-9CEB-4FD9A5A8B959}">
  <dimension ref="A1:O6"/>
  <sheetViews>
    <sheetView tabSelected="1" workbookViewId="0">
      <selection activeCell="F2" sqref="F2"/>
    </sheetView>
  </sheetViews>
  <sheetFormatPr defaultRowHeight="14.4"/>
  <cols>
    <col min="1" max="1" width="12.5546875" bestFit="1" customWidth="1"/>
    <col min="2" max="2" width="22" bestFit="1" customWidth="1"/>
    <col min="3" max="3" width="12.5546875" bestFit="1" customWidth="1"/>
    <col min="4" max="4" width="16.21875" bestFit="1" customWidth="1"/>
    <col min="5" max="5" width="20" customWidth="1"/>
  </cols>
  <sheetData>
    <row r="1" spans="1:15">
      <c r="A1" s="12" t="s">
        <v>366</v>
      </c>
      <c r="B1" s="12" t="s">
        <v>377</v>
      </c>
      <c r="C1" s="12" t="s">
        <v>366</v>
      </c>
      <c r="D1" s="12" t="s">
        <v>379</v>
      </c>
      <c r="E1" s="21" t="s">
        <v>380</v>
      </c>
      <c r="F1" s="21" t="s">
        <v>381</v>
      </c>
    </row>
    <row r="2" spans="1:15">
      <c r="A2" s="10" t="s">
        <v>18</v>
      </c>
      <c r="B2">
        <v>551989</v>
      </c>
      <c r="C2" s="10" t="s">
        <v>18</v>
      </c>
      <c r="D2">
        <v>201460</v>
      </c>
      <c r="E2" s="22">
        <f>GETPIVOTDATA("Total Engagment",$A$1,"Campaign_Name","ChillVibes")/GETPIVOTDATA("Ad_Spend",$C$1,"Campaign_Name","ChillVibes")</f>
        <v>2.7399434130844833</v>
      </c>
      <c r="F2" s="24">
        <f>RANK(E2,$E$2:$E$5,0)</f>
        <v>1</v>
      </c>
      <c r="H2" s="25" t="s">
        <v>389</v>
      </c>
      <c r="I2" s="25"/>
      <c r="J2" s="25"/>
      <c r="K2" s="25"/>
      <c r="L2" s="25"/>
      <c r="M2" s="25"/>
      <c r="N2" s="25"/>
      <c r="O2" s="25"/>
    </row>
    <row r="3" spans="1:15">
      <c r="A3" s="10" t="s">
        <v>23</v>
      </c>
      <c r="B3">
        <v>324406</v>
      </c>
      <c r="C3" s="10" t="s">
        <v>23</v>
      </c>
      <c r="D3">
        <v>246330</v>
      </c>
      <c r="E3" s="22">
        <f>GETPIVOTDATA("Total Engagment",$A$1,"Campaign_Name","IndieWave")/GETPIVOTDATA("Ad_Spend",$C$1,"Campaign_Name","IndieWave")</f>
        <v>1.3169569276986157</v>
      </c>
      <c r="F3" s="24">
        <f t="shared" ref="F3:F5" si="0">RANK(E3,$E$2:$E$5,0)</f>
        <v>2</v>
      </c>
      <c r="H3" s="25" t="s">
        <v>390</v>
      </c>
      <c r="I3" s="25"/>
      <c r="J3" s="25"/>
      <c r="K3" s="25"/>
      <c r="L3" s="25"/>
      <c r="M3" s="25"/>
      <c r="N3" s="25"/>
      <c r="O3" s="25"/>
    </row>
    <row r="4" spans="1:15">
      <c r="A4" s="10" t="s">
        <v>57</v>
      </c>
      <c r="B4">
        <v>105783</v>
      </c>
      <c r="C4" s="10" t="s">
        <v>57</v>
      </c>
      <c r="D4">
        <v>252741</v>
      </c>
      <c r="E4" s="22">
        <f>GETPIVOTDATA("Total Engagment",$A$1,"Campaign_Name","SummerBeats")/GETPIVOTDATA("Ad_Spend",$C$1,"Campaign_Name","SummerBeats")</f>
        <v>0.41854309352261804</v>
      </c>
      <c r="F4" s="24">
        <f t="shared" si="0"/>
        <v>3</v>
      </c>
      <c r="H4" s="25" t="s">
        <v>391</v>
      </c>
      <c r="I4" s="25"/>
      <c r="J4" s="25"/>
      <c r="K4" s="25"/>
      <c r="L4" s="25"/>
      <c r="M4" s="25"/>
      <c r="N4" s="25"/>
      <c r="O4" s="25"/>
    </row>
    <row r="5" spans="1:15">
      <c r="A5" s="10" t="s">
        <v>54</v>
      </c>
      <c r="B5">
        <v>75464</v>
      </c>
      <c r="C5" s="10" t="s">
        <v>54</v>
      </c>
      <c r="D5">
        <v>243827</v>
      </c>
      <c r="E5" s="22">
        <f>GETPIVOTDATA("Total Engagment",$A$1,"Campaign_Name","Wrapped2024")/GETPIVOTDATA("Ad_Spend",$C$1,"Campaign_Name","Wrapped2024")</f>
        <v>0.30949812777091956</v>
      </c>
      <c r="F5" s="24">
        <f t="shared" si="0"/>
        <v>4</v>
      </c>
      <c r="H5" s="25" t="s">
        <v>392</v>
      </c>
      <c r="I5" s="25"/>
      <c r="J5" s="25"/>
      <c r="K5" s="25"/>
      <c r="L5" s="25"/>
      <c r="M5" s="25"/>
      <c r="N5" s="25"/>
      <c r="O5" s="25"/>
    </row>
    <row r="6" spans="1:15">
      <c r="A6" s="13" t="s">
        <v>367</v>
      </c>
      <c r="B6" s="12">
        <v>1057642</v>
      </c>
      <c r="C6" s="13" t="s">
        <v>367</v>
      </c>
      <c r="D6" s="12">
        <v>944358</v>
      </c>
      <c r="E6" s="23"/>
      <c r="F6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2A58A-5C6E-4D01-B3BA-7E13704C7F58}">
  <dimension ref="A1:N1000"/>
  <sheetViews>
    <sheetView zoomScale="83" zoomScaleNormal="83" workbookViewId="0">
      <selection activeCell="N15" sqref="N15"/>
    </sheetView>
  </sheetViews>
  <sheetFormatPr defaultColWidth="14.44140625" defaultRowHeight="15" customHeight="1"/>
  <cols>
    <col min="1" max="1" width="19.44140625" style="7" customWidth="1"/>
    <col min="2" max="2" width="23.88671875" style="3" customWidth="1"/>
    <col min="3" max="3" width="14.77734375" style="3" customWidth="1"/>
    <col min="4" max="4" width="10.44140625" style="3" customWidth="1"/>
    <col min="5" max="5" width="15.109375" style="3" customWidth="1"/>
    <col min="6" max="6" width="17.44140625" style="3" customWidth="1"/>
    <col min="7" max="7" width="11.5546875" style="3" customWidth="1"/>
    <col min="8" max="8" width="17.88671875" style="3" customWidth="1"/>
    <col min="9" max="26" width="8.6640625" style="3" customWidth="1"/>
    <col min="27" max="16384" width="14.44140625" style="3"/>
  </cols>
  <sheetData>
    <row r="1" spans="1:14" ht="14.4">
      <c r="A1" s="2" t="s">
        <v>339</v>
      </c>
      <c r="B1" s="1" t="s">
        <v>1</v>
      </c>
      <c r="C1" s="1" t="s">
        <v>340</v>
      </c>
      <c r="D1" s="1" t="s">
        <v>341</v>
      </c>
      <c r="E1" s="1" t="s">
        <v>342</v>
      </c>
      <c r="F1" s="1" t="s">
        <v>11</v>
      </c>
      <c r="G1" s="1" t="s">
        <v>343</v>
      </c>
      <c r="H1" s="17" t="s">
        <v>13</v>
      </c>
    </row>
    <row r="2" spans="1:14" ht="14.4">
      <c r="A2" s="4">
        <v>45446</v>
      </c>
      <c r="B2" s="1" t="s">
        <v>15</v>
      </c>
      <c r="C2" s="5">
        <v>1402</v>
      </c>
      <c r="D2" s="5">
        <v>68</v>
      </c>
      <c r="E2" s="5">
        <v>124562</v>
      </c>
      <c r="F2" s="6">
        <v>9.9199999999999997E-2</v>
      </c>
      <c r="G2" s="5">
        <v>23125</v>
      </c>
      <c r="H2" s="3" t="str" cm="1">
        <f t="array" ref="H2">IFERROR(
   INDEX('Campaign Metadata'!A:A,
      MATCH(1,
         (A2&gt;='Campaign Metadata'!B:B)*
         (A2&lt;='Campaign Metadata'!C:C),
      0)
   ),
"Non-Campaign")</f>
        <v>Non-Campaign</v>
      </c>
    </row>
    <row r="3" spans="1:14" ht="14.4">
      <c r="A3" s="4">
        <v>45446</v>
      </c>
      <c r="B3" s="1" t="s">
        <v>26</v>
      </c>
      <c r="C3" s="5">
        <v>995</v>
      </c>
      <c r="D3" s="5">
        <v>86</v>
      </c>
      <c r="E3" s="5">
        <v>227958</v>
      </c>
      <c r="F3" s="6">
        <v>8.0500000000000002E-2</v>
      </c>
      <c r="G3" s="5">
        <v>22788</v>
      </c>
      <c r="H3" s="3" t="str" cm="1">
        <f t="array" ref="H3">IFERROR(
   INDEX('Campaign Metadata'!A:A,
      MATCH(1,
         (A3&gt;='Campaign Metadata'!B:B)*
         (A3&lt;='Campaign Metadata'!C:C),
      0)
   ),
"Non-Campaign")</f>
        <v>Non-Campaign</v>
      </c>
    </row>
    <row r="4" spans="1:14" ht="14.4">
      <c r="A4" s="4">
        <v>45446</v>
      </c>
      <c r="B4" s="1" t="s">
        <v>33</v>
      </c>
      <c r="C4" s="5">
        <v>1472</v>
      </c>
      <c r="D4" s="5">
        <v>296</v>
      </c>
      <c r="E4" s="5">
        <v>370242</v>
      </c>
      <c r="F4" s="6">
        <v>7.7199999999999991E-2</v>
      </c>
      <c r="G4" s="5">
        <v>7810</v>
      </c>
      <c r="H4" s="3" t="str" cm="1">
        <f t="array" ref="H4">IFERROR(
   INDEX('Campaign Metadata'!A:A,
      MATCH(1,
         (A4&gt;='Campaign Metadata'!B:B)*
         (A4&lt;='Campaign Metadata'!C:C),
      0)
   ),
"Non-Campaign")</f>
        <v>Non-Campaign</v>
      </c>
    </row>
    <row r="5" spans="1:14" ht="14.4">
      <c r="A5" s="4">
        <v>45453</v>
      </c>
      <c r="B5" s="1" t="s">
        <v>15</v>
      </c>
      <c r="C5" s="5">
        <v>1018</v>
      </c>
      <c r="D5" s="5">
        <v>90</v>
      </c>
      <c r="E5" s="5">
        <v>92474</v>
      </c>
      <c r="F5" s="6">
        <v>9.4E-2</v>
      </c>
      <c r="G5" s="5">
        <v>11966</v>
      </c>
      <c r="H5" s="3" t="str" cm="1">
        <f t="array" ref="H5">IFERROR(
   INDEX('Campaign Metadata'!A:A,
      MATCH(1,
         (A5&gt;='Campaign Metadata'!B:B)*
         (A5&lt;='Campaign Metadata'!C:C),
      0)
   ),
"Non-Campaign")</f>
        <v>Non-Campaign</v>
      </c>
    </row>
    <row r="6" spans="1:14" ht="14.4">
      <c r="A6" s="4">
        <v>45453</v>
      </c>
      <c r="B6" s="1" t="s">
        <v>26</v>
      </c>
      <c r="C6" s="5">
        <v>1461</v>
      </c>
      <c r="D6" s="5">
        <v>64</v>
      </c>
      <c r="E6" s="5">
        <v>328902</v>
      </c>
      <c r="F6" s="6">
        <v>9.0200000000000002E-2</v>
      </c>
      <c r="G6" s="5">
        <v>26298</v>
      </c>
      <c r="H6" s="3" t="str" cm="1">
        <f t="array" ref="H6">IFERROR(
   INDEX('Campaign Metadata'!A:A,
      MATCH(1,
         (A6&gt;='Campaign Metadata'!B:B)*
         (A6&lt;='Campaign Metadata'!C:C),
      0)
   ),
"Non-Campaign")</f>
        <v>Non-Campaign</v>
      </c>
    </row>
    <row r="7" spans="1:14" ht="14.4">
      <c r="A7" s="4">
        <v>45453</v>
      </c>
      <c r="B7" s="1" t="s">
        <v>33</v>
      </c>
      <c r="C7" s="5">
        <v>545</v>
      </c>
      <c r="D7" s="5">
        <v>93</v>
      </c>
      <c r="E7" s="5">
        <v>391621</v>
      </c>
      <c r="F7" s="6">
        <v>9.9600000000000008E-2</v>
      </c>
      <c r="G7" s="5">
        <v>22029</v>
      </c>
      <c r="H7" s="3" t="str" cm="1">
        <f t="array" ref="H7">IFERROR(
   INDEX('Campaign Metadata'!A:A,
      MATCH(1,
         (A7&gt;='Campaign Metadata'!B:B)*
         (A7&lt;='Campaign Metadata'!C:C),
      0)
   ),
"Non-Campaign")</f>
        <v>Non-Campaign</v>
      </c>
    </row>
    <row r="8" spans="1:14" ht="14.4">
      <c r="A8" s="4">
        <v>45460</v>
      </c>
      <c r="B8" s="1" t="s">
        <v>15</v>
      </c>
      <c r="C8" s="5">
        <v>881</v>
      </c>
      <c r="D8" s="5">
        <v>291</v>
      </c>
      <c r="E8" s="5">
        <v>95885</v>
      </c>
      <c r="F8" s="6">
        <v>5.2900000000000003E-2</v>
      </c>
      <c r="G8" s="5">
        <v>12391</v>
      </c>
      <c r="H8" s="3" t="str" cm="1">
        <f t="array" ref="H8">IFERROR(
   INDEX('Campaign Metadata'!A:A,
      MATCH(1,
         (A8&gt;='Campaign Metadata'!B:B)*
         (A8&lt;='Campaign Metadata'!C:C),
      0)
   ),
"Non-Campaign")</f>
        <v>SummerBeats</v>
      </c>
    </row>
    <row r="9" spans="1:14" ht="14.4">
      <c r="A9" s="4">
        <v>45460</v>
      </c>
      <c r="B9" s="1" t="s">
        <v>26</v>
      </c>
      <c r="C9" s="5">
        <v>1414</v>
      </c>
      <c r="D9" s="5">
        <v>131</v>
      </c>
      <c r="E9" s="5">
        <v>245947</v>
      </c>
      <c r="F9" s="6">
        <v>8.3000000000000004E-2</v>
      </c>
      <c r="G9" s="5">
        <v>14477</v>
      </c>
      <c r="H9" s="3" t="str" cm="1">
        <f t="array" ref="H9">IFERROR(
   INDEX('Campaign Metadata'!A:A,
      MATCH(1,
         (A9&gt;='Campaign Metadata'!B:B)*
         (A9&lt;='Campaign Metadata'!C:C),
      0)
   ),
"Non-Campaign")</f>
        <v>SummerBeats</v>
      </c>
    </row>
    <row r="10" spans="1:14" ht="14.4">
      <c r="A10" s="4">
        <v>45460</v>
      </c>
      <c r="B10" s="1" t="s">
        <v>33</v>
      </c>
      <c r="C10" s="5">
        <v>1472</v>
      </c>
      <c r="D10" s="5">
        <v>170</v>
      </c>
      <c r="E10" s="5">
        <v>250428</v>
      </c>
      <c r="F10" s="6">
        <v>4.6600000000000003E-2</v>
      </c>
      <c r="G10" s="5">
        <v>25040</v>
      </c>
      <c r="H10" s="3" t="str" cm="1">
        <f t="array" ref="H10">IFERROR(
   INDEX('Campaign Metadata'!A:A,
      MATCH(1,
         (A10&gt;='Campaign Metadata'!B:B)*
         (A10&lt;='Campaign Metadata'!C:C),
      0)
   ),
"Non-Campaign")</f>
        <v>SummerBeats</v>
      </c>
    </row>
    <row r="11" spans="1:14" ht="14.4">
      <c r="A11" s="4">
        <v>45467</v>
      </c>
      <c r="B11" s="1" t="s">
        <v>15</v>
      </c>
      <c r="C11" s="5">
        <v>809</v>
      </c>
      <c r="D11" s="5">
        <v>197</v>
      </c>
      <c r="E11" s="5">
        <v>87186</v>
      </c>
      <c r="F11" s="6">
        <v>9.4800000000000009E-2</v>
      </c>
      <c r="G11" s="5">
        <v>22619</v>
      </c>
      <c r="H11" s="3" t="str" cm="1">
        <f t="array" ref="H11">IFERROR(
   INDEX('Campaign Metadata'!A:A,
      MATCH(1,
         (A11&gt;='Campaign Metadata'!B:B)*
         (A11&lt;='Campaign Metadata'!C:C),
      0)
   ),
"Non-Campaign")</f>
        <v>SummerBeats</v>
      </c>
    </row>
    <row r="12" spans="1:14" ht="14.4">
      <c r="A12" s="4">
        <v>45467</v>
      </c>
      <c r="B12" s="1" t="s">
        <v>26</v>
      </c>
      <c r="C12" s="5">
        <v>1371</v>
      </c>
      <c r="D12" s="5">
        <v>250</v>
      </c>
      <c r="E12" s="5">
        <v>128620</v>
      </c>
      <c r="F12" s="6">
        <v>7.1099999999999997E-2</v>
      </c>
      <c r="G12" s="5">
        <v>12399</v>
      </c>
      <c r="H12" s="3" t="str" cm="1">
        <f t="array" ref="H12">IFERROR(
   INDEX('Campaign Metadata'!A:A,
      MATCH(1,
         (A12&gt;='Campaign Metadata'!B:B)*
         (A12&lt;='Campaign Metadata'!C:C),
      0)
   ),
"Non-Campaign")</f>
        <v>SummerBeats</v>
      </c>
    </row>
    <row r="13" spans="1:14" ht="14.4">
      <c r="A13" s="4">
        <v>45467</v>
      </c>
      <c r="B13" s="1" t="s">
        <v>33</v>
      </c>
      <c r="C13" s="5">
        <v>844</v>
      </c>
      <c r="D13" s="5">
        <v>144</v>
      </c>
      <c r="E13" s="5">
        <v>126015</v>
      </c>
      <c r="F13" s="6">
        <v>9.6500000000000002E-2</v>
      </c>
      <c r="G13" s="5">
        <v>22456</v>
      </c>
      <c r="H13" s="3" t="str" cm="1">
        <f t="array" ref="H13">IFERROR(
   INDEX('Campaign Metadata'!A:A,
      MATCH(1,
         (A13&gt;='Campaign Metadata'!B:B)*
         (A13&lt;='Campaign Metadata'!C:C),
      0)
   ),
"Non-Campaign")</f>
        <v>SummerBeats</v>
      </c>
    </row>
    <row r="14" spans="1:14" ht="14.4">
      <c r="A14" s="4">
        <v>45474</v>
      </c>
      <c r="B14" s="1" t="s">
        <v>15</v>
      </c>
      <c r="C14" s="5">
        <v>786</v>
      </c>
      <c r="D14" s="5">
        <v>72</v>
      </c>
      <c r="E14" s="5">
        <v>178615</v>
      </c>
      <c r="F14" s="6">
        <v>5.4299999999999994E-2</v>
      </c>
      <c r="G14" s="5">
        <v>19328</v>
      </c>
      <c r="H14" s="3" t="str" cm="1">
        <f t="array" ref="H14">IFERROR(
   INDEX('Campaign Metadata'!A:A,
      MATCH(1,
         (A14&gt;='Campaign Metadata'!B:B)*
         (A14&lt;='Campaign Metadata'!C:C),
      0)
   ),
"Non-Campaign")</f>
        <v>SummerBeats</v>
      </c>
    </row>
    <row r="15" spans="1:14" ht="14.4">
      <c r="A15" s="4">
        <v>45474</v>
      </c>
      <c r="B15" s="1" t="s">
        <v>26</v>
      </c>
      <c r="C15" s="5">
        <v>845</v>
      </c>
      <c r="D15" s="5">
        <v>250</v>
      </c>
      <c r="E15" s="5">
        <v>218228</v>
      </c>
      <c r="F15" s="6">
        <v>4.5199999999999997E-2</v>
      </c>
      <c r="G15" s="5">
        <v>21107</v>
      </c>
      <c r="H15" s="3" t="str" cm="1">
        <f t="array" ref="H15">IFERROR(
   INDEX('Campaign Metadata'!A:A,
      MATCH(1,
         (A15&gt;='Campaign Metadata'!B:B)*
         (A15&lt;='Campaign Metadata'!C:C),
      0)
   ),
"Non-Campaign")</f>
        <v>SummerBeats</v>
      </c>
      <c r="N15" s="17" t="s">
        <v>378</v>
      </c>
    </row>
    <row r="16" spans="1:14" ht="14.4">
      <c r="A16" s="4">
        <v>45474</v>
      </c>
      <c r="B16" s="1" t="s">
        <v>33</v>
      </c>
      <c r="C16" s="5">
        <v>1218</v>
      </c>
      <c r="D16" s="5">
        <v>101</v>
      </c>
      <c r="E16" s="5">
        <v>300397</v>
      </c>
      <c r="F16" s="6">
        <v>4.3299999999999998E-2</v>
      </c>
      <c r="G16" s="5">
        <v>12277</v>
      </c>
      <c r="H16" s="3" t="str" cm="1">
        <f t="array" ref="H16">IFERROR(
   INDEX('Campaign Metadata'!A:A,
      MATCH(1,
         (A16&gt;='Campaign Metadata'!B:B)*
         (A16&lt;='Campaign Metadata'!C:C),
      0)
   ),
"Non-Campaign")</f>
        <v>SummerBeats</v>
      </c>
    </row>
    <row r="17" spans="1:8" ht="14.4">
      <c r="A17" s="4">
        <v>45481</v>
      </c>
      <c r="B17" s="1" t="s">
        <v>15</v>
      </c>
      <c r="C17" s="5">
        <v>797</v>
      </c>
      <c r="D17" s="5">
        <v>130</v>
      </c>
      <c r="E17" s="5">
        <v>340121</v>
      </c>
      <c r="F17" s="6">
        <v>8.5199999999999998E-2</v>
      </c>
      <c r="G17" s="5">
        <v>11684</v>
      </c>
      <c r="H17" s="3" t="str" cm="1">
        <f t="array" ref="H17">IFERROR(
   INDEX('Campaign Metadata'!A:A,
      MATCH(1,
         (A17&gt;='Campaign Metadata'!B:B)*
         (A17&lt;='Campaign Metadata'!C:C),
      0)
   ),
"Non-Campaign")</f>
        <v>SummerBeats</v>
      </c>
    </row>
    <row r="18" spans="1:8" ht="14.4">
      <c r="A18" s="4">
        <v>45481</v>
      </c>
      <c r="B18" s="1" t="s">
        <v>26</v>
      </c>
      <c r="C18" s="5">
        <v>1471</v>
      </c>
      <c r="D18" s="5">
        <v>100</v>
      </c>
      <c r="E18" s="5">
        <v>76866</v>
      </c>
      <c r="F18" s="6">
        <v>8.5500000000000007E-2</v>
      </c>
      <c r="G18" s="5">
        <v>14412</v>
      </c>
      <c r="H18" s="3" t="str" cm="1">
        <f t="array" ref="H18">IFERROR(
   INDEX('Campaign Metadata'!A:A,
      MATCH(1,
         (A18&gt;='Campaign Metadata'!B:B)*
         (A18&lt;='Campaign Metadata'!C:C),
      0)
   ),
"Non-Campaign")</f>
        <v>SummerBeats</v>
      </c>
    </row>
    <row r="19" spans="1:8" ht="14.4">
      <c r="A19" s="4">
        <v>45481</v>
      </c>
      <c r="B19" s="1" t="s">
        <v>33</v>
      </c>
      <c r="C19" s="5">
        <v>1253</v>
      </c>
      <c r="D19" s="5">
        <v>136</v>
      </c>
      <c r="E19" s="5">
        <v>193131</v>
      </c>
      <c r="F19" s="6">
        <v>7.9899999999999999E-2</v>
      </c>
      <c r="G19" s="5">
        <v>15924</v>
      </c>
      <c r="H19" s="3" t="str" cm="1">
        <f t="array" ref="H19">IFERROR(
   INDEX('Campaign Metadata'!A:A,
      MATCH(1,
         (A19&gt;='Campaign Metadata'!B:B)*
         (A19&lt;='Campaign Metadata'!C:C),
      0)
   ),
"Non-Campaign")</f>
        <v>SummerBeats</v>
      </c>
    </row>
    <row r="20" spans="1:8" ht="14.4">
      <c r="A20" s="4">
        <v>45488</v>
      </c>
      <c r="B20" s="1" t="s">
        <v>15</v>
      </c>
      <c r="C20" s="5">
        <v>616</v>
      </c>
      <c r="D20" s="5">
        <v>257</v>
      </c>
      <c r="E20" s="5">
        <v>169665</v>
      </c>
      <c r="F20" s="6">
        <v>6.3099999999999989E-2</v>
      </c>
      <c r="G20" s="5">
        <v>12390</v>
      </c>
      <c r="H20" s="3" t="str" cm="1">
        <f t="array" ref="H20">IFERROR(
   INDEX('Campaign Metadata'!A:A,
      MATCH(1,
         (A20&gt;='Campaign Metadata'!B:B)*
         (A20&lt;='Campaign Metadata'!C:C),
      0)
   ),
"Non-Campaign")</f>
        <v>SummerBeats</v>
      </c>
    </row>
    <row r="21" spans="1:8" ht="15.75" customHeight="1">
      <c r="A21" s="4">
        <v>45488</v>
      </c>
      <c r="B21" s="1" t="s">
        <v>26</v>
      </c>
      <c r="C21" s="5">
        <v>1308</v>
      </c>
      <c r="D21" s="5">
        <v>210</v>
      </c>
      <c r="E21" s="5">
        <v>263729</v>
      </c>
      <c r="F21" s="6">
        <v>8.5299999999999987E-2</v>
      </c>
      <c r="G21" s="5">
        <v>25742</v>
      </c>
      <c r="H21" s="3" t="str" cm="1">
        <f t="array" ref="H21">IFERROR(
   INDEX('Campaign Metadata'!A:A,
      MATCH(1,
         (A21&gt;='Campaign Metadata'!B:B)*
         (A21&lt;='Campaign Metadata'!C:C),
      0)
   ),
"Non-Campaign")</f>
        <v>SummerBeats</v>
      </c>
    </row>
    <row r="22" spans="1:8" ht="15.75" customHeight="1">
      <c r="A22" s="4">
        <v>45488</v>
      </c>
      <c r="B22" s="1" t="s">
        <v>33</v>
      </c>
      <c r="C22" s="5">
        <v>981</v>
      </c>
      <c r="D22" s="5">
        <v>69</v>
      </c>
      <c r="E22" s="5">
        <v>206921</v>
      </c>
      <c r="F22" s="6">
        <v>8.4199999999999997E-2</v>
      </c>
      <c r="G22" s="5">
        <v>10495</v>
      </c>
      <c r="H22" s="3" t="str" cm="1">
        <f t="array" ref="H22">IFERROR(
   INDEX('Campaign Metadata'!A:A,
      MATCH(1,
         (A22&gt;='Campaign Metadata'!B:B)*
         (A22&lt;='Campaign Metadata'!C:C),
      0)
   ),
"Non-Campaign")</f>
        <v>SummerBeats</v>
      </c>
    </row>
    <row r="23" spans="1:8" ht="15.75" customHeight="1">
      <c r="A23" s="4">
        <v>45495</v>
      </c>
      <c r="B23" s="1" t="s">
        <v>15</v>
      </c>
      <c r="C23" s="5">
        <v>866</v>
      </c>
      <c r="D23" s="5">
        <v>74</v>
      </c>
      <c r="E23" s="5">
        <v>204121</v>
      </c>
      <c r="F23" s="6">
        <v>9.3399999999999997E-2</v>
      </c>
      <c r="G23" s="5">
        <v>7797</v>
      </c>
      <c r="H23" s="3" t="str" cm="1">
        <f t="array" ref="H23">IFERROR(
   INDEX('Campaign Metadata'!A:A,
      MATCH(1,
         (A23&gt;='Campaign Metadata'!B:B)*
         (A23&lt;='Campaign Metadata'!C:C),
      0)
   ),
"Non-Campaign")</f>
        <v>Non-Campaign</v>
      </c>
    </row>
    <row r="24" spans="1:8" ht="15.75" customHeight="1">
      <c r="A24" s="4">
        <v>45495</v>
      </c>
      <c r="B24" s="1" t="s">
        <v>26</v>
      </c>
      <c r="C24" s="5">
        <v>547</v>
      </c>
      <c r="D24" s="5">
        <v>183</v>
      </c>
      <c r="E24" s="5">
        <v>266350</v>
      </c>
      <c r="F24" s="6">
        <v>5.6500000000000002E-2</v>
      </c>
      <c r="G24" s="5">
        <v>15595</v>
      </c>
      <c r="H24" s="3" t="str" cm="1">
        <f t="array" ref="H24">IFERROR(
   INDEX('Campaign Metadata'!A:A,
      MATCH(1,
         (A24&gt;='Campaign Metadata'!B:B)*
         (A24&lt;='Campaign Metadata'!C:C),
      0)
   ),
"Non-Campaign")</f>
        <v>Non-Campaign</v>
      </c>
    </row>
    <row r="25" spans="1:8" ht="15.75" customHeight="1">
      <c r="A25" s="4">
        <v>45495</v>
      </c>
      <c r="B25" s="1" t="s">
        <v>33</v>
      </c>
      <c r="C25" s="5">
        <v>1241</v>
      </c>
      <c r="D25" s="5">
        <v>116</v>
      </c>
      <c r="E25" s="5">
        <v>380606</v>
      </c>
      <c r="F25" s="6">
        <v>4.2000000000000003E-2</v>
      </c>
      <c r="G25" s="5">
        <v>24617</v>
      </c>
      <c r="H25" s="3" t="str" cm="1">
        <f t="array" ref="H25">IFERROR(
   INDEX('Campaign Metadata'!A:A,
      MATCH(1,
         (A25&gt;='Campaign Metadata'!B:B)*
         (A25&lt;='Campaign Metadata'!C:C),
      0)
   ),
"Non-Campaign")</f>
        <v>Non-Campaign</v>
      </c>
    </row>
    <row r="26" spans="1:8" ht="15.75" customHeight="1">
      <c r="A26" s="4">
        <v>45502</v>
      </c>
      <c r="B26" s="1" t="s">
        <v>15</v>
      </c>
      <c r="C26" s="5">
        <v>973</v>
      </c>
      <c r="D26" s="5">
        <v>104</v>
      </c>
      <c r="E26" s="5">
        <v>376358</v>
      </c>
      <c r="F26" s="6">
        <v>3.8699999999999998E-2</v>
      </c>
      <c r="G26" s="5">
        <v>9847</v>
      </c>
      <c r="H26" s="3" t="str" cm="1">
        <f t="array" ref="H26">IFERROR(
   INDEX('Campaign Metadata'!A:A,
      MATCH(1,
         (A26&gt;='Campaign Metadata'!B:B)*
         (A26&lt;='Campaign Metadata'!C:C),
      0)
   ),
"Non-Campaign")</f>
        <v>Non-Campaign</v>
      </c>
    </row>
    <row r="27" spans="1:8" ht="15.75" customHeight="1">
      <c r="A27" s="4">
        <v>45502</v>
      </c>
      <c r="B27" s="1" t="s">
        <v>26</v>
      </c>
      <c r="C27" s="5">
        <v>611</v>
      </c>
      <c r="D27" s="5">
        <v>197</v>
      </c>
      <c r="E27" s="5">
        <v>79423</v>
      </c>
      <c r="F27" s="6">
        <v>5.8200000000000002E-2</v>
      </c>
      <c r="G27" s="5">
        <v>13644</v>
      </c>
      <c r="H27" s="3" t="str" cm="1">
        <f t="array" ref="H27">IFERROR(
   INDEX('Campaign Metadata'!A:A,
      MATCH(1,
         (A27&gt;='Campaign Metadata'!B:B)*
         (A27&lt;='Campaign Metadata'!C:C),
      0)
   ),
"Non-Campaign")</f>
        <v>Non-Campaign</v>
      </c>
    </row>
    <row r="28" spans="1:8" ht="15.75" customHeight="1">
      <c r="A28" s="4">
        <v>45502</v>
      </c>
      <c r="B28" s="1" t="s">
        <v>33</v>
      </c>
      <c r="C28" s="5">
        <v>983</v>
      </c>
      <c r="D28" s="5">
        <v>134</v>
      </c>
      <c r="E28" s="5">
        <v>352178</v>
      </c>
      <c r="F28" s="6">
        <v>3.5499999999999997E-2</v>
      </c>
      <c r="G28" s="5">
        <v>11421</v>
      </c>
      <c r="H28" s="3" t="str" cm="1">
        <f t="array" ref="H28">IFERROR(
   INDEX('Campaign Metadata'!A:A,
      MATCH(1,
         (A28&gt;='Campaign Metadata'!B:B)*
         (A28&lt;='Campaign Metadata'!C:C),
      0)
   ),
"Non-Campaign")</f>
        <v>Non-Campaign</v>
      </c>
    </row>
    <row r="29" spans="1:8" ht="15.75" customHeight="1">
      <c r="A29" s="4">
        <v>45509</v>
      </c>
      <c r="B29" s="1" t="s">
        <v>15</v>
      </c>
      <c r="C29" s="5">
        <v>1449</v>
      </c>
      <c r="D29" s="5">
        <v>96</v>
      </c>
      <c r="E29" s="5">
        <v>200636</v>
      </c>
      <c r="F29" s="6">
        <v>9.9199999999999997E-2</v>
      </c>
      <c r="G29" s="5">
        <v>15613</v>
      </c>
      <c r="H29" s="3" t="str" cm="1">
        <f t="array" ref="H29">IFERROR(
   INDEX('Campaign Metadata'!A:A,
      MATCH(1,
         (A29&gt;='Campaign Metadata'!B:B)*
         (A29&lt;='Campaign Metadata'!C:C),
      0)
   ),
"Non-Campaign")</f>
        <v>Non-Campaign</v>
      </c>
    </row>
    <row r="30" spans="1:8" ht="15.75" customHeight="1">
      <c r="A30" s="4">
        <v>45509</v>
      </c>
      <c r="B30" s="1" t="s">
        <v>26</v>
      </c>
      <c r="C30" s="5">
        <v>752</v>
      </c>
      <c r="D30" s="5">
        <v>170</v>
      </c>
      <c r="E30" s="5">
        <v>132756</v>
      </c>
      <c r="F30" s="6">
        <v>8.1699999999999995E-2</v>
      </c>
      <c r="G30" s="5">
        <v>23900</v>
      </c>
      <c r="H30" s="3" t="str" cm="1">
        <f t="array" ref="H30">IFERROR(
   INDEX('Campaign Metadata'!A:A,
      MATCH(1,
         (A30&gt;='Campaign Metadata'!B:B)*
         (A30&lt;='Campaign Metadata'!C:C),
      0)
   ),
"Non-Campaign")</f>
        <v>Non-Campaign</v>
      </c>
    </row>
    <row r="31" spans="1:8" ht="15.75" customHeight="1">
      <c r="A31" s="4">
        <v>45509</v>
      </c>
      <c r="B31" s="1" t="s">
        <v>33</v>
      </c>
      <c r="C31" s="5">
        <v>937</v>
      </c>
      <c r="D31" s="5">
        <v>179</v>
      </c>
      <c r="E31" s="5">
        <v>318098</v>
      </c>
      <c r="F31" s="6">
        <v>5.2999999999999999E-2</v>
      </c>
      <c r="G31" s="5">
        <v>5836</v>
      </c>
      <c r="H31" s="3" t="str" cm="1">
        <f t="array" ref="H31">IFERROR(
   INDEX('Campaign Metadata'!A:A,
      MATCH(1,
         (A31&gt;='Campaign Metadata'!B:B)*
         (A31&lt;='Campaign Metadata'!C:C),
      0)
   ),
"Non-Campaign")</f>
        <v>Non-Campaign</v>
      </c>
    </row>
    <row r="32" spans="1:8" ht="15.75" customHeight="1">
      <c r="A32" s="4">
        <v>45516</v>
      </c>
      <c r="B32" s="1" t="s">
        <v>15</v>
      </c>
      <c r="C32" s="5">
        <v>1060</v>
      </c>
      <c r="D32" s="5">
        <v>83</v>
      </c>
      <c r="E32" s="5">
        <v>68724</v>
      </c>
      <c r="F32" s="6">
        <v>5.9800000000000006E-2</v>
      </c>
      <c r="G32" s="5">
        <v>5624</v>
      </c>
      <c r="H32" s="3" t="str" cm="1">
        <f t="array" ref="H32">IFERROR(
   INDEX('Campaign Metadata'!A:A,
      MATCH(1,
         (A32&gt;='Campaign Metadata'!B:B)*
         (A32&lt;='Campaign Metadata'!C:C),
      0)
   ),
"Non-Campaign")</f>
        <v>Non-Campaign</v>
      </c>
    </row>
    <row r="33" spans="1:8" ht="15.75" customHeight="1">
      <c r="A33" s="4">
        <v>45516</v>
      </c>
      <c r="B33" s="1" t="s">
        <v>26</v>
      </c>
      <c r="C33" s="5">
        <v>1456</v>
      </c>
      <c r="D33" s="5">
        <v>265</v>
      </c>
      <c r="E33" s="5">
        <v>115505</v>
      </c>
      <c r="F33" s="6">
        <v>7.4900000000000008E-2</v>
      </c>
      <c r="G33" s="5">
        <v>10311</v>
      </c>
      <c r="H33" s="3" t="str" cm="1">
        <f t="array" ref="H33">IFERROR(
   INDEX('Campaign Metadata'!A:A,
      MATCH(1,
         (A33&gt;='Campaign Metadata'!B:B)*
         (A33&lt;='Campaign Metadata'!C:C),
      0)
   ),
"Non-Campaign")</f>
        <v>Non-Campaign</v>
      </c>
    </row>
    <row r="34" spans="1:8" ht="15.75" customHeight="1">
      <c r="A34" s="4">
        <v>45516</v>
      </c>
      <c r="B34" s="1" t="s">
        <v>33</v>
      </c>
      <c r="C34" s="5">
        <v>1109</v>
      </c>
      <c r="D34" s="5">
        <v>205</v>
      </c>
      <c r="E34" s="5">
        <v>276722</v>
      </c>
      <c r="F34" s="6">
        <v>9.3800000000000008E-2</v>
      </c>
      <c r="G34" s="5">
        <v>8274</v>
      </c>
      <c r="H34" s="3" t="str" cm="1">
        <f t="array" ref="H34">IFERROR(
   INDEX('Campaign Metadata'!A:A,
      MATCH(1,
         (A34&gt;='Campaign Metadata'!B:B)*
         (A34&lt;='Campaign Metadata'!C:C),
      0)
   ),
"Non-Campaign")</f>
        <v>Non-Campaign</v>
      </c>
    </row>
    <row r="35" spans="1:8" ht="15.75" customHeight="1">
      <c r="A35" s="4">
        <v>45523</v>
      </c>
      <c r="B35" s="1" t="s">
        <v>15</v>
      </c>
      <c r="C35" s="5">
        <v>1002</v>
      </c>
      <c r="D35" s="5">
        <v>93</v>
      </c>
      <c r="E35" s="5">
        <v>353538</v>
      </c>
      <c r="F35" s="6">
        <v>5.8400000000000001E-2</v>
      </c>
      <c r="G35" s="5">
        <v>6031</v>
      </c>
      <c r="H35" s="3" t="str" cm="1">
        <f t="array" ref="H35">IFERROR(
   INDEX('Campaign Metadata'!A:A,
      MATCH(1,
         (A35&gt;='Campaign Metadata'!B:B)*
         (A35&lt;='Campaign Metadata'!C:C),
      0)
   ),
"Non-Campaign")</f>
        <v>Non-Campaign</v>
      </c>
    </row>
    <row r="36" spans="1:8" ht="15.75" customHeight="1">
      <c r="A36" s="4">
        <v>45523</v>
      </c>
      <c r="B36" s="1" t="s">
        <v>26</v>
      </c>
      <c r="C36" s="5">
        <v>571</v>
      </c>
      <c r="D36" s="5">
        <v>189</v>
      </c>
      <c r="E36" s="5">
        <v>61445</v>
      </c>
      <c r="F36" s="6">
        <v>5.4100000000000002E-2</v>
      </c>
      <c r="G36" s="5">
        <v>27829</v>
      </c>
      <c r="H36" s="3" t="str" cm="1">
        <f t="array" ref="H36">IFERROR(
   INDEX('Campaign Metadata'!A:A,
      MATCH(1,
         (A36&gt;='Campaign Metadata'!B:B)*
         (A36&lt;='Campaign Metadata'!C:C),
      0)
   ),
"Non-Campaign")</f>
        <v>Non-Campaign</v>
      </c>
    </row>
    <row r="37" spans="1:8" ht="15.75" customHeight="1">
      <c r="A37" s="4">
        <v>45523</v>
      </c>
      <c r="B37" s="1" t="s">
        <v>33</v>
      </c>
      <c r="C37" s="5">
        <v>1240</v>
      </c>
      <c r="D37" s="5">
        <v>231</v>
      </c>
      <c r="E37" s="5">
        <v>165035</v>
      </c>
      <c r="F37" s="6">
        <v>6.0499999999999998E-2</v>
      </c>
      <c r="G37" s="5">
        <v>18267</v>
      </c>
      <c r="H37" s="3" t="str" cm="1">
        <f t="array" ref="H37">IFERROR(
   INDEX('Campaign Metadata'!A:A,
      MATCH(1,
         (A37&gt;='Campaign Metadata'!B:B)*
         (A37&lt;='Campaign Metadata'!C:C),
      0)
   ),
"Non-Campaign")</f>
        <v>Non-Campaign</v>
      </c>
    </row>
    <row r="38" spans="1:8" ht="15.75" customHeight="1">
      <c r="A38" s="4">
        <v>45530</v>
      </c>
      <c r="B38" s="1" t="s">
        <v>15</v>
      </c>
      <c r="C38" s="5">
        <v>1154</v>
      </c>
      <c r="D38" s="5">
        <v>132</v>
      </c>
      <c r="E38" s="5">
        <v>194595</v>
      </c>
      <c r="F38" s="6">
        <v>7.5399999999999995E-2</v>
      </c>
      <c r="G38" s="5">
        <v>26624</v>
      </c>
      <c r="H38" s="3" t="str" cm="1">
        <f t="array" ref="H38">IFERROR(
   INDEX('Campaign Metadata'!A:A,
      MATCH(1,
         (A38&gt;='Campaign Metadata'!B:B)*
         (A38&lt;='Campaign Metadata'!C:C),
      0)
   ),
"Non-Campaign")</f>
        <v>Non-Campaign</v>
      </c>
    </row>
    <row r="39" spans="1:8" ht="15.75" customHeight="1">
      <c r="A39" s="4">
        <v>45530</v>
      </c>
      <c r="B39" s="1" t="s">
        <v>26</v>
      </c>
      <c r="C39" s="5">
        <v>537</v>
      </c>
      <c r="D39" s="5">
        <v>275</v>
      </c>
      <c r="E39" s="5">
        <v>236238</v>
      </c>
      <c r="F39" s="6">
        <v>5.8700000000000002E-2</v>
      </c>
      <c r="G39" s="5">
        <v>26644</v>
      </c>
      <c r="H39" s="3" t="str" cm="1">
        <f t="array" ref="H39">IFERROR(
   INDEX('Campaign Metadata'!A:A,
      MATCH(1,
         (A39&gt;='Campaign Metadata'!B:B)*
         (A39&lt;='Campaign Metadata'!C:C),
      0)
   ),
"Non-Campaign")</f>
        <v>Non-Campaign</v>
      </c>
    </row>
    <row r="40" spans="1:8" ht="15.75" customHeight="1">
      <c r="A40" s="4">
        <v>45530</v>
      </c>
      <c r="B40" s="1" t="s">
        <v>33</v>
      </c>
      <c r="C40" s="5">
        <v>1456</v>
      </c>
      <c r="D40" s="5">
        <v>290</v>
      </c>
      <c r="E40" s="5">
        <v>271044</v>
      </c>
      <c r="F40" s="6">
        <v>7.17E-2</v>
      </c>
      <c r="G40" s="5">
        <v>13051</v>
      </c>
      <c r="H40" s="3" t="str" cm="1">
        <f t="array" ref="H40">IFERROR(
   INDEX('Campaign Metadata'!A:A,
      MATCH(1,
         (A40&gt;='Campaign Metadata'!B:B)*
         (A40&lt;='Campaign Metadata'!C:C),
      0)
   ),
"Non-Campaign")</f>
        <v>Non-Campaign</v>
      </c>
    </row>
    <row r="41" spans="1:8" ht="15.75" customHeight="1">
      <c r="A41" s="4">
        <v>45537</v>
      </c>
      <c r="B41" s="1" t="s">
        <v>15</v>
      </c>
      <c r="C41" s="5">
        <v>721</v>
      </c>
      <c r="D41" s="5">
        <v>206</v>
      </c>
      <c r="E41" s="5">
        <v>334887</v>
      </c>
      <c r="F41" s="6">
        <v>6.0499999999999998E-2</v>
      </c>
      <c r="G41" s="5">
        <v>14217</v>
      </c>
      <c r="H41" s="3" t="str" cm="1">
        <f t="array" ref="H41">IFERROR(
   INDEX('Campaign Metadata'!A:A,
      MATCH(1,
         (A41&gt;='Campaign Metadata'!B:B)*
         (A41&lt;='Campaign Metadata'!C:C),
      0)
   ),
"Non-Campaign")</f>
        <v>Non-Campaign</v>
      </c>
    </row>
    <row r="42" spans="1:8" ht="15.75" customHeight="1">
      <c r="A42" s="4">
        <v>45537</v>
      </c>
      <c r="B42" s="1" t="s">
        <v>26</v>
      </c>
      <c r="C42" s="5">
        <v>1098</v>
      </c>
      <c r="D42" s="5">
        <v>142</v>
      </c>
      <c r="E42" s="5">
        <v>359150</v>
      </c>
      <c r="F42" s="6">
        <v>7.51E-2</v>
      </c>
      <c r="G42" s="5">
        <v>16385</v>
      </c>
      <c r="H42" s="3" t="str" cm="1">
        <f t="array" ref="H42">IFERROR(
   INDEX('Campaign Metadata'!A:A,
      MATCH(1,
         (A42&gt;='Campaign Metadata'!B:B)*
         (A42&lt;='Campaign Metadata'!C:C),
      0)
   ),
"Non-Campaign")</f>
        <v>Non-Campaign</v>
      </c>
    </row>
    <row r="43" spans="1:8" ht="15.75" customHeight="1">
      <c r="A43" s="4">
        <v>45537</v>
      </c>
      <c r="B43" s="1" t="s">
        <v>33</v>
      </c>
      <c r="C43" s="5">
        <v>1096</v>
      </c>
      <c r="D43" s="5">
        <v>65</v>
      </c>
      <c r="E43" s="5">
        <v>358295</v>
      </c>
      <c r="F43" s="6">
        <v>7.6600000000000001E-2</v>
      </c>
      <c r="G43" s="5">
        <v>24548</v>
      </c>
      <c r="H43" s="3" t="str" cm="1">
        <f t="array" ref="H43">IFERROR(
   INDEX('Campaign Metadata'!A:A,
      MATCH(1,
         (A43&gt;='Campaign Metadata'!B:B)*
         (A43&lt;='Campaign Metadata'!C:C),
      0)
   ),
"Non-Campaign")</f>
        <v>Non-Campaign</v>
      </c>
    </row>
    <row r="44" spans="1:8" ht="15.75" customHeight="1">
      <c r="A44" s="4">
        <v>45544</v>
      </c>
      <c r="B44" s="1" t="s">
        <v>15</v>
      </c>
      <c r="C44" s="5">
        <v>912</v>
      </c>
      <c r="D44" s="5">
        <v>275</v>
      </c>
      <c r="E44" s="5">
        <v>368454</v>
      </c>
      <c r="F44" s="6">
        <v>6.0299999999999999E-2</v>
      </c>
      <c r="G44" s="5">
        <v>9195</v>
      </c>
      <c r="H44" s="3" t="str" cm="1">
        <f t="array" ref="H44">IFERROR(
   INDEX('Campaign Metadata'!A:A,
      MATCH(1,
         (A44&gt;='Campaign Metadata'!B:B)*
         (A44&lt;='Campaign Metadata'!C:C),
      0)
   ),
"Non-Campaign")</f>
        <v>Non-Campaign</v>
      </c>
    </row>
    <row r="45" spans="1:8" ht="15.75" customHeight="1">
      <c r="A45" s="4">
        <v>45544</v>
      </c>
      <c r="B45" s="1" t="s">
        <v>26</v>
      </c>
      <c r="C45" s="5">
        <v>1430</v>
      </c>
      <c r="D45" s="5">
        <v>162</v>
      </c>
      <c r="E45" s="5">
        <v>269082</v>
      </c>
      <c r="F45" s="6">
        <v>3.4000000000000002E-2</v>
      </c>
      <c r="G45" s="5">
        <v>18071</v>
      </c>
      <c r="H45" s="3" t="str" cm="1">
        <f t="array" ref="H45">IFERROR(
   INDEX('Campaign Metadata'!A:A,
      MATCH(1,
         (A45&gt;='Campaign Metadata'!B:B)*
         (A45&lt;='Campaign Metadata'!C:C),
      0)
   ),
"Non-Campaign")</f>
        <v>Non-Campaign</v>
      </c>
    </row>
    <row r="46" spans="1:8" ht="15.75" customHeight="1">
      <c r="A46" s="4">
        <v>45544</v>
      </c>
      <c r="B46" s="1" t="s">
        <v>33</v>
      </c>
      <c r="C46" s="5">
        <v>854</v>
      </c>
      <c r="D46" s="5">
        <v>129</v>
      </c>
      <c r="E46" s="5">
        <v>310903</v>
      </c>
      <c r="F46" s="6">
        <v>7.8299999999999995E-2</v>
      </c>
      <c r="G46" s="5">
        <v>16875</v>
      </c>
      <c r="H46" s="3" t="str" cm="1">
        <f t="array" ref="H46">IFERROR(
   INDEX('Campaign Metadata'!A:A,
      MATCH(1,
         (A46&gt;='Campaign Metadata'!B:B)*
         (A46&lt;='Campaign Metadata'!C:C),
      0)
   ),
"Non-Campaign")</f>
        <v>Non-Campaign</v>
      </c>
    </row>
    <row r="47" spans="1:8" ht="15.75" customHeight="1">
      <c r="A47" s="4">
        <v>45551</v>
      </c>
      <c r="B47" s="1" t="s">
        <v>15</v>
      </c>
      <c r="C47" s="5">
        <v>681</v>
      </c>
      <c r="D47" s="5">
        <v>210</v>
      </c>
      <c r="E47" s="5">
        <v>248581</v>
      </c>
      <c r="F47" s="6">
        <v>8.7599999999999997E-2</v>
      </c>
      <c r="G47" s="5">
        <v>9567</v>
      </c>
      <c r="H47" s="3" t="str" cm="1">
        <f t="array" ref="H47">IFERROR(
   INDEX('Campaign Metadata'!A:A,
      MATCH(1,
         (A47&gt;='Campaign Metadata'!B:B)*
         (A47&lt;='Campaign Metadata'!C:C),
      0)
   ),
"Non-Campaign")</f>
        <v>Non-Campaign</v>
      </c>
    </row>
    <row r="48" spans="1:8" ht="15.75" customHeight="1">
      <c r="A48" s="4">
        <v>45551</v>
      </c>
      <c r="B48" s="1" t="s">
        <v>26</v>
      </c>
      <c r="C48" s="5">
        <v>1373</v>
      </c>
      <c r="D48" s="5">
        <v>82</v>
      </c>
      <c r="E48" s="5">
        <v>371015</v>
      </c>
      <c r="F48" s="6">
        <v>9.5199999999999993E-2</v>
      </c>
      <c r="G48" s="5">
        <v>20306</v>
      </c>
      <c r="H48" s="3" t="str" cm="1">
        <f t="array" ref="H48">IFERROR(
   INDEX('Campaign Metadata'!A:A,
      MATCH(1,
         (A48&gt;='Campaign Metadata'!B:B)*
         (A48&lt;='Campaign Metadata'!C:C),
      0)
   ),
"Non-Campaign")</f>
        <v>Non-Campaign</v>
      </c>
    </row>
    <row r="49" spans="1:8" ht="15.75" customHeight="1">
      <c r="A49" s="4">
        <v>45551</v>
      </c>
      <c r="B49" s="1" t="s">
        <v>33</v>
      </c>
      <c r="C49" s="5">
        <v>685</v>
      </c>
      <c r="D49" s="5">
        <v>285</v>
      </c>
      <c r="E49" s="5">
        <v>177452</v>
      </c>
      <c r="F49" s="6">
        <v>3.3599999999999998E-2</v>
      </c>
      <c r="G49" s="5">
        <v>21134</v>
      </c>
      <c r="H49" s="3" t="str" cm="1">
        <f t="array" ref="H49">IFERROR(
   INDEX('Campaign Metadata'!A:A,
      MATCH(1,
         (A49&gt;='Campaign Metadata'!B:B)*
         (A49&lt;='Campaign Metadata'!C:C),
      0)
   ),
"Non-Campaign")</f>
        <v>Non-Campaign</v>
      </c>
    </row>
    <row r="50" spans="1:8" ht="15.75" customHeight="1">
      <c r="A50" s="4">
        <v>45558</v>
      </c>
      <c r="B50" s="1" t="s">
        <v>15</v>
      </c>
      <c r="C50" s="5">
        <v>1290</v>
      </c>
      <c r="D50" s="5">
        <v>177</v>
      </c>
      <c r="E50" s="5">
        <v>80745</v>
      </c>
      <c r="F50" s="6">
        <v>9.2200000000000004E-2</v>
      </c>
      <c r="G50" s="5">
        <v>26872</v>
      </c>
      <c r="H50" s="3" t="str" cm="1">
        <f t="array" ref="H50">IFERROR(
   INDEX('Campaign Metadata'!A:A,
      MATCH(1,
         (A50&gt;='Campaign Metadata'!B:B)*
         (A50&lt;='Campaign Metadata'!C:C),
      0)
   ),
"Non-Campaign")</f>
        <v>Non-Campaign</v>
      </c>
    </row>
    <row r="51" spans="1:8" ht="15.75" customHeight="1">
      <c r="A51" s="4">
        <v>45558</v>
      </c>
      <c r="B51" s="1" t="s">
        <v>26</v>
      </c>
      <c r="C51" s="5">
        <v>1437</v>
      </c>
      <c r="D51" s="5">
        <v>239</v>
      </c>
      <c r="E51" s="5">
        <v>362441</v>
      </c>
      <c r="F51" s="6">
        <v>5.57E-2</v>
      </c>
      <c r="G51" s="5">
        <v>10253</v>
      </c>
      <c r="H51" s="3" t="str" cm="1">
        <f t="array" ref="H51">IFERROR(
   INDEX('Campaign Metadata'!A:A,
      MATCH(1,
         (A51&gt;='Campaign Metadata'!B:B)*
         (A51&lt;='Campaign Metadata'!C:C),
      0)
   ),
"Non-Campaign")</f>
        <v>Non-Campaign</v>
      </c>
    </row>
    <row r="52" spans="1:8" ht="15.75" customHeight="1">
      <c r="A52" s="4">
        <v>45558</v>
      </c>
      <c r="B52" s="1" t="s">
        <v>33</v>
      </c>
      <c r="C52" s="5">
        <v>769</v>
      </c>
      <c r="D52" s="5">
        <v>295</v>
      </c>
      <c r="E52" s="5">
        <v>344771</v>
      </c>
      <c r="F52" s="6">
        <v>8.0600000000000005E-2</v>
      </c>
      <c r="G52" s="5">
        <v>23963</v>
      </c>
      <c r="H52" s="3" t="str" cm="1">
        <f t="array" ref="H52">IFERROR(
   INDEX('Campaign Metadata'!A:A,
      MATCH(1,
         (A52&gt;='Campaign Metadata'!B:B)*
         (A52&lt;='Campaign Metadata'!C:C),
      0)
   ),
"Non-Campaign")</f>
        <v>Non-Campaign</v>
      </c>
    </row>
    <row r="53" spans="1:8" ht="15.75" customHeight="1">
      <c r="A53" s="4">
        <v>45565</v>
      </c>
      <c r="B53" s="1" t="s">
        <v>15</v>
      </c>
      <c r="C53" s="5">
        <v>1416</v>
      </c>
      <c r="D53" s="5">
        <v>284</v>
      </c>
      <c r="E53" s="5">
        <v>374952</v>
      </c>
      <c r="F53" s="6">
        <v>3.4500000000000003E-2</v>
      </c>
      <c r="G53" s="5">
        <v>11335</v>
      </c>
      <c r="H53" s="3" t="str" cm="1">
        <f t="array" ref="H53">IFERROR(
   INDEX('Campaign Metadata'!A:A,
      MATCH(1,
         (A53&gt;='Campaign Metadata'!B:B)*
         (A53&lt;='Campaign Metadata'!C:C),
      0)
   ),
"Non-Campaign")</f>
        <v>Non-Campaign</v>
      </c>
    </row>
    <row r="54" spans="1:8" ht="15.75" customHeight="1">
      <c r="A54" s="4">
        <v>45565</v>
      </c>
      <c r="B54" s="1" t="s">
        <v>26</v>
      </c>
      <c r="C54" s="5">
        <v>998</v>
      </c>
      <c r="D54" s="5">
        <v>154</v>
      </c>
      <c r="E54" s="5">
        <v>179781</v>
      </c>
      <c r="F54" s="6">
        <v>9.5799999999999996E-2</v>
      </c>
      <c r="G54" s="5">
        <v>12115</v>
      </c>
      <c r="H54" s="3" t="str" cm="1">
        <f t="array" ref="H54">IFERROR(
   INDEX('Campaign Metadata'!A:A,
      MATCH(1,
         (A54&gt;='Campaign Metadata'!B:B)*
         (A54&lt;='Campaign Metadata'!C:C),
      0)
   ),
"Non-Campaign")</f>
        <v>Non-Campaign</v>
      </c>
    </row>
    <row r="55" spans="1:8" ht="15.75" customHeight="1">
      <c r="A55" s="4">
        <v>45565</v>
      </c>
      <c r="B55" s="1" t="s">
        <v>33</v>
      </c>
      <c r="C55" s="5">
        <v>1421</v>
      </c>
      <c r="D55" s="5">
        <v>246</v>
      </c>
      <c r="E55" s="5">
        <v>358581</v>
      </c>
      <c r="F55" s="6">
        <v>8.8800000000000004E-2</v>
      </c>
      <c r="G55" s="5">
        <v>24358</v>
      </c>
      <c r="H55" s="3" t="str" cm="1">
        <f t="array" ref="H55">IFERROR(
   INDEX('Campaign Metadata'!A:A,
      MATCH(1,
         (A55&gt;='Campaign Metadata'!B:B)*
         (A55&lt;='Campaign Metadata'!C:C),
      0)
   ),
"Non-Campaign")</f>
        <v>Non-Campaign</v>
      </c>
    </row>
    <row r="56" spans="1:8" ht="15.75" customHeight="1">
      <c r="A56" s="4">
        <v>45572</v>
      </c>
      <c r="B56" s="1" t="s">
        <v>15</v>
      </c>
      <c r="C56" s="5">
        <v>764</v>
      </c>
      <c r="D56" s="5">
        <v>205</v>
      </c>
      <c r="E56" s="5">
        <v>319294</v>
      </c>
      <c r="F56" s="6">
        <v>6.2300000000000001E-2</v>
      </c>
      <c r="G56" s="5">
        <v>12181</v>
      </c>
      <c r="H56" s="3" t="str" cm="1">
        <f t="array" ref="H56">IFERROR(
   INDEX('Campaign Metadata'!A:A,
      MATCH(1,
         (A56&gt;='Campaign Metadata'!B:B)*
         (A56&lt;='Campaign Metadata'!C:C),
      0)
   ),
"Non-Campaign")</f>
        <v>Non-Campaign</v>
      </c>
    </row>
    <row r="57" spans="1:8" ht="15.75" customHeight="1">
      <c r="A57" s="4">
        <v>45572</v>
      </c>
      <c r="B57" s="1" t="s">
        <v>26</v>
      </c>
      <c r="C57" s="5">
        <v>678</v>
      </c>
      <c r="D57" s="5">
        <v>124</v>
      </c>
      <c r="E57" s="5">
        <v>192022</v>
      </c>
      <c r="F57" s="6">
        <v>8.4499999999999992E-2</v>
      </c>
      <c r="G57" s="5">
        <v>17729</v>
      </c>
      <c r="H57" s="3" t="str" cm="1">
        <f t="array" ref="H57">IFERROR(
   INDEX('Campaign Metadata'!A:A,
      MATCH(1,
         (A57&gt;='Campaign Metadata'!B:B)*
         (A57&lt;='Campaign Metadata'!C:C),
      0)
   ),
"Non-Campaign")</f>
        <v>Non-Campaign</v>
      </c>
    </row>
    <row r="58" spans="1:8" ht="15.75" customHeight="1">
      <c r="A58" s="4">
        <v>45572</v>
      </c>
      <c r="B58" s="1" t="s">
        <v>33</v>
      </c>
      <c r="C58" s="5">
        <v>1328</v>
      </c>
      <c r="D58" s="5">
        <v>103</v>
      </c>
      <c r="E58" s="5">
        <v>151462</v>
      </c>
      <c r="F58" s="6">
        <v>8.4000000000000005E-2</v>
      </c>
      <c r="G58" s="5">
        <v>10881</v>
      </c>
      <c r="H58" s="3" t="str" cm="1">
        <f t="array" ref="H58">IFERROR(
   INDEX('Campaign Metadata'!A:A,
      MATCH(1,
         (A58&gt;='Campaign Metadata'!B:B)*
         (A58&lt;='Campaign Metadata'!C:C),
      0)
   ),
"Non-Campaign")</f>
        <v>Non-Campaign</v>
      </c>
    </row>
    <row r="59" spans="1:8" ht="15.75" customHeight="1">
      <c r="A59" s="4">
        <v>45579</v>
      </c>
      <c r="B59" s="1" t="s">
        <v>15</v>
      </c>
      <c r="C59" s="5">
        <v>1161</v>
      </c>
      <c r="D59" s="5">
        <v>269</v>
      </c>
      <c r="E59" s="5">
        <v>188193</v>
      </c>
      <c r="F59" s="6">
        <v>7.3399999999999993E-2</v>
      </c>
      <c r="G59" s="5">
        <v>18576</v>
      </c>
      <c r="H59" s="3" t="str" cm="1">
        <f t="array" ref="H59">IFERROR(
   INDEX('Campaign Metadata'!A:A,
      MATCH(1,
         (A59&gt;='Campaign Metadata'!B:B)*
         (A59&lt;='Campaign Metadata'!C:C),
      0)
   ),
"Non-Campaign")</f>
        <v>Non-Campaign</v>
      </c>
    </row>
    <row r="60" spans="1:8" ht="15.75" customHeight="1">
      <c r="A60" s="4">
        <v>45579</v>
      </c>
      <c r="B60" s="1" t="s">
        <v>26</v>
      </c>
      <c r="C60" s="5">
        <v>588</v>
      </c>
      <c r="D60" s="5">
        <v>52</v>
      </c>
      <c r="E60" s="5">
        <v>292040</v>
      </c>
      <c r="F60" s="6">
        <v>8.14E-2</v>
      </c>
      <c r="G60" s="5">
        <v>9383</v>
      </c>
      <c r="H60" s="3" t="str" cm="1">
        <f t="array" ref="H60">IFERROR(
   INDEX('Campaign Metadata'!A:A,
      MATCH(1,
         (A60&gt;='Campaign Metadata'!B:B)*
         (A60&lt;='Campaign Metadata'!C:C),
      0)
   ),
"Non-Campaign")</f>
        <v>Non-Campaign</v>
      </c>
    </row>
    <row r="61" spans="1:8" ht="15.75" customHeight="1">
      <c r="A61" s="4">
        <v>45579</v>
      </c>
      <c r="B61" s="1" t="s">
        <v>33</v>
      </c>
      <c r="C61" s="5">
        <v>1457</v>
      </c>
      <c r="D61" s="5">
        <v>215</v>
      </c>
      <c r="E61" s="5">
        <v>325325</v>
      </c>
      <c r="F61" s="6">
        <v>9.5799999999999996E-2</v>
      </c>
      <c r="G61" s="5">
        <v>14178</v>
      </c>
      <c r="H61" s="3" t="str" cm="1">
        <f t="array" ref="H61">IFERROR(
   INDEX('Campaign Metadata'!A:A,
      MATCH(1,
         (A61&gt;='Campaign Metadata'!B:B)*
         (A61&lt;='Campaign Metadata'!C:C),
      0)
   ),
"Non-Campaign")</f>
        <v>Non-Campaign</v>
      </c>
    </row>
    <row r="62" spans="1:8" ht="15.75" customHeight="1">
      <c r="A62" s="4">
        <v>45586</v>
      </c>
      <c r="B62" s="1" t="s">
        <v>15</v>
      </c>
      <c r="C62" s="5">
        <v>1190</v>
      </c>
      <c r="D62" s="5">
        <v>242</v>
      </c>
      <c r="E62" s="5">
        <v>86849</v>
      </c>
      <c r="F62" s="6">
        <v>8.0600000000000005E-2</v>
      </c>
      <c r="G62" s="5">
        <v>21254</v>
      </c>
      <c r="H62" s="3" t="str" cm="1">
        <f t="array" ref="H62">IFERROR(
   INDEX('Campaign Metadata'!A:A,
      MATCH(1,
         (A62&gt;='Campaign Metadata'!B:B)*
         (A62&lt;='Campaign Metadata'!C:C),
      0)
   ),
"Non-Campaign")</f>
        <v>Non-Campaign</v>
      </c>
    </row>
    <row r="63" spans="1:8" ht="15.75" customHeight="1">
      <c r="A63" s="4">
        <v>45586</v>
      </c>
      <c r="B63" s="1" t="s">
        <v>26</v>
      </c>
      <c r="C63" s="5">
        <v>886</v>
      </c>
      <c r="D63" s="5">
        <v>124</v>
      </c>
      <c r="E63" s="5">
        <v>141161</v>
      </c>
      <c r="F63" s="6">
        <v>8.1900000000000001E-2</v>
      </c>
      <c r="G63" s="5">
        <v>14215</v>
      </c>
      <c r="H63" s="3" t="str" cm="1">
        <f t="array" ref="H63">IFERROR(
   INDEX('Campaign Metadata'!A:A,
      MATCH(1,
         (A63&gt;='Campaign Metadata'!B:B)*
         (A63&lt;='Campaign Metadata'!C:C),
      0)
   ),
"Non-Campaign")</f>
        <v>Non-Campaign</v>
      </c>
    </row>
    <row r="64" spans="1:8" ht="15.75" customHeight="1">
      <c r="A64" s="4">
        <v>45586</v>
      </c>
      <c r="B64" s="1" t="s">
        <v>33</v>
      </c>
      <c r="C64" s="5">
        <v>1237</v>
      </c>
      <c r="D64" s="5">
        <v>155</v>
      </c>
      <c r="E64" s="5">
        <v>149916</v>
      </c>
      <c r="F64" s="6">
        <v>4.4800000000000006E-2</v>
      </c>
      <c r="G64" s="5">
        <v>16921</v>
      </c>
      <c r="H64" s="3" t="str" cm="1">
        <f t="array" ref="H64">IFERROR(
   INDEX('Campaign Metadata'!A:A,
      MATCH(1,
         (A64&gt;='Campaign Metadata'!B:B)*
         (A64&lt;='Campaign Metadata'!C:C),
      0)
   ),
"Non-Campaign")</f>
        <v>Non-Campaign</v>
      </c>
    </row>
    <row r="65" spans="1:8" ht="15.75" customHeight="1">
      <c r="A65" s="4">
        <v>45593</v>
      </c>
      <c r="B65" s="1" t="s">
        <v>15</v>
      </c>
      <c r="C65" s="5">
        <v>1435</v>
      </c>
      <c r="D65" s="5">
        <v>261</v>
      </c>
      <c r="E65" s="5">
        <v>308533</v>
      </c>
      <c r="F65" s="6">
        <v>4.5199999999999997E-2</v>
      </c>
      <c r="G65" s="5">
        <v>25130</v>
      </c>
      <c r="H65" s="3" t="str" cm="1">
        <f t="array" ref="H65">IFERROR(
   INDEX('Campaign Metadata'!A:A,
      MATCH(1,
         (A65&gt;='Campaign Metadata'!B:B)*
         (A65&lt;='Campaign Metadata'!C:C),
      0)
   ),
"Non-Campaign")</f>
        <v>Non-Campaign</v>
      </c>
    </row>
    <row r="66" spans="1:8" ht="15.75" customHeight="1">
      <c r="A66" s="4">
        <v>45593</v>
      </c>
      <c r="B66" s="1" t="s">
        <v>26</v>
      </c>
      <c r="C66" s="5">
        <v>746</v>
      </c>
      <c r="D66" s="5">
        <v>282</v>
      </c>
      <c r="E66" s="5">
        <v>293894</v>
      </c>
      <c r="F66" s="6">
        <v>5.4199999999999998E-2</v>
      </c>
      <c r="G66" s="5">
        <v>25537</v>
      </c>
      <c r="H66" s="3" t="str" cm="1">
        <f t="array" ref="H66">IFERROR(
   INDEX('Campaign Metadata'!A:A,
      MATCH(1,
         (A66&gt;='Campaign Metadata'!B:B)*
         (A66&lt;='Campaign Metadata'!C:C),
      0)
   ),
"Non-Campaign")</f>
        <v>Non-Campaign</v>
      </c>
    </row>
    <row r="67" spans="1:8" ht="15.75" customHeight="1">
      <c r="A67" s="4">
        <v>45593</v>
      </c>
      <c r="B67" s="1" t="s">
        <v>33</v>
      </c>
      <c r="C67" s="5">
        <v>759</v>
      </c>
      <c r="D67" s="5">
        <v>216</v>
      </c>
      <c r="E67" s="5">
        <v>147656</v>
      </c>
      <c r="F67" s="6">
        <v>4.0800000000000003E-2</v>
      </c>
      <c r="G67" s="5">
        <v>24943</v>
      </c>
      <c r="H67" s="3" t="str" cm="1">
        <f t="array" ref="H67">IFERROR(
   INDEX('Campaign Metadata'!A:A,
      MATCH(1,
         (A67&gt;='Campaign Metadata'!B:B)*
         (A67&lt;='Campaign Metadata'!C:C),
      0)
   ),
"Non-Campaign")</f>
        <v>Non-Campaign</v>
      </c>
    </row>
    <row r="68" spans="1:8" ht="15.75" customHeight="1">
      <c r="A68" s="4">
        <v>45600</v>
      </c>
      <c r="B68" s="1" t="s">
        <v>15</v>
      </c>
      <c r="C68" s="5">
        <v>1437</v>
      </c>
      <c r="D68" s="5">
        <v>235</v>
      </c>
      <c r="E68" s="5">
        <v>326791</v>
      </c>
      <c r="F68" s="6">
        <v>4.0599999999999997E-2</v>
      </c>
      <c r="G68" s="5">
        <v>14563</v>
      </c>
      <c r="H68" s="3" t="str" cm="1">
        <f t="array" ref="H68">IFERROR(
   INDEX('Campaign Metadata'!A:A,
      MATCH(1,
         (A68&gt;='Campaign Metadata'!B:B)*
         (A68&lt;='Campaign Metadata'!C:C),
      0)
   ),
"Non-Campaign")</f>
        <v>Non-Campaign</v>
      </c>
    </row>
    <row r="69" spans="1:8" ht="15.75" customHeight="1">
      <c r="A69" s="4">
        <v>45600</v>
      </c>
      <c r="B69" s="1" t="s">
        <v>26</v>
      </c>
      <c r="C69" s="5">
        <v>1463</v>
      </c>
      <c r="D69" s="5">
        <v>73</v>
      </c>
      <c r="E69" s="5">
        <v>348877</v>
      </c>
      <c r="F69" s="6">
        <v>9.9100000000000008E-2</v>
      </c>
      <c r="G69" s="5">
        <v>26273</v>
      </c>
      <c r="H69" s="3" t="str" cm="1">
        <f t="array" ref="H69">IFERROR(
   INDEX('Campaign Metadata'!A:A,
      MATCH(1,
         (A69&gt;='Campaign Metadata'!B:B)*
         (A69&lt;='Campaign Metadata'!C:C),
      0)
   ),
"Non-Campaign")</f>
        <v>Non-Campaign</v>
      </c>
    </row>
    <row r="70" spans="1:8" ht="15.75" customHeight="1">
      <c r="A70" s="4">
        <v>45600</v>
      </c>
      <c r="B70" s="1" t="s">
        <v>33</v>
      </c>
      <c r="C70" s="5">
        <v>1208</v>
      </c>
      <c r="D70" s="5">
        <v>224</v>
      </c>
      <c r="E70" s="5">
        <v>122730</v>
      </c>
      <c r="F70" s="6">
        <v>8.72E-2</v>
      </c>
      <c r="G70" s="5">
        <v>10858</v>
      </c>
      <c r="H70" s="3" t="str" cm="1">
        <f t="array" ref="H70">IFERROR(
   INDEX('Campaign Metadata'!A:A,
      MATCH(1,
         (A70&gt;='Campaign Metadata'!B:B)*
         (A70&lt;='Campaign Metadata'!C:C),
      0)
   ),
"Non-Campaign")</f>
        <v>Non-Campaign</v>
      </c>
    </row>
    <row r="71" spans="1:8" ht="15.75" customHeight="1">
      <c r="A71" s="4">
        <v>45607</v>
      </c>
      <c r="B71" s="1" t="s">
        <v>15</v>
      </c>
      <c r="C71" s="5">
        <v>1391</v>
      </c>
      <c r="D71" s="5">
        <v>187</v>
      </c>
      <c r="E71" s="5">
        <v>306508</v>
      </c>
      <c r="F71" s="6">
        <v>8.3800000000000013E-2</v>
      </c>
      <c r="G71" s="5">
        <v>25038</v>
      </c>
      <c r="H71" s="3" t="str" cm="1">
        <f t="array" ref="H71">IFERROR(
   INDEX('Campaign Metadata'!A:A,
      MATCH(1,
         (A71&gt;='Campaign Metadata'!B:B)*
         (A71&lt;='Campaign Metadata'!C:C),
      0)
   ),
"Non-Campaign")</f>
        <v>Non-Campaign</v>
      </c>
    </row>
    <row r="72" spans="1:8" ht="15.75" customHeight="1">
      <c r="A72" s="4">
        <v>45607</v>
      </c>
      <c r="B72" s="1" t="s">
        <v>26</v>
      </c>
      <c r="C72" s="5">
        <v>655</v>
      </c>
      <c r="D72" s="5">
        <v>123</v>
      </c>
      <c r="E72" s="5">
        <v>202472</v>
      </c>
      <c r="F72" s="6">
        <v>7.5600000000000001E-2</v>
      </c>
      <c r="G72" s="5">
        <v>9092</v>
      </c>
      <c r="H72" s="3" t="str" cm="1">
        <f t="array" ref="H72">IFERROR(
   INDEX('Campaign Metadata'!A:A,
      MATCH(1,
         (A72&gt;='Campaign Metadata'!B:B)*
         (A72&lt;='Campaign Metadata'!C:C),
      0)
   ),
"Non-Campaign")</f>
        <v>Non-Campaign</v>
      </c>
    </row>
    <row r="73" spans="1:8" ht="15.75" customHeight="1">
      <c r="A73" s="4">
        <v>45607</v>
      </c>
      <c r="B73" s="1" t="s">
        <v>33</v>
      </c>
      <c r="C73" s="5">
        <v>1148</v>
      </c>
      <c r="D73" s="5">
        <v>90</v>
      </c>
      <c r="E73" s="5">
        <v>227249</v>
      </c>
      <c r="F73" s="6">
        <v>7.2400000000000006E-2</v>
      </c>
      <c r="G73" s="5">
        <v>17662</v>
      </c>
      <c r="H73" s="3" t="str" cm="1">
        <f t="array" ref="H73">IFERROR(
   INDEX('Campaign Metadata'!A:A,
      MATCH(1,
         (A73&gt;='Campaign Metadata'!B:B)*
         (A73&lt;='Campaign Metadata'!C:C),
      0)
   ),
"Non-Campaign")</f>
        <v>Non-Campaign</v>
      </c>
    </row>
    <row r="74" spans="1:8" ht="15.75" customHeight="1">
      <c r="A74" s="4">
        <v>45614</v>
      </c>
      <c r="B74" s="1" t="s">
        <v>15</v>
      </c>
      <c r="C74" s="5">
        <v>946</v>
      </c>
      <c r="D74" s="5">
        <v>270</v>
      </c>
      <c r="E74" s="5">
        <v>246567</v>
      </c>
      <c r="F74" s="6">
        <v>4.53E-2</v>
      </c>
      <c r="G74" s="5">
        <v>5924</v>
      </c>
      <c r="H74" s="3" t="str" cm="1">
        <f t="array" ref="H74">IFERROR(
   INDEX('Campaign Metadata'!A:A,
      MATCH(1,
         (A74&gt;='Campaign Metadata'!B:B)*
         (A74&lt;='Campaign Metadata'!C:C),
      0)
   ),
"Non-Campaign")</f>
        <v>Non-Campaign</v>
      </c>
    </row>
    <row r="75" spans="1:8" ht="15.75" customHeight="1">
      <c r="A75" s="4">
        <v>45614</v>
      </c>
      <c r="B75" s="1" t="s">
        <v>26</v>
      </c>
      <c r="C75" s="5">
        <v>791</v>
      </c>
      <c r="D75" s="5">
        <v>214</v>
      </c>
      <c r="E75" s="5">
        <v>114738</v>
      </c>
      <c r="F75" s="6">
        <v>6.6199999999999995E-2</v>
      </c>
      <c r="G75" s="5">
        <v>25347</v>
      </c>
      <c r="H75" s="3" t="str" cm="1">
        <f t="array" ref="H75">IFERROR(
   INDEX('Campaign Metadata'!A:A,
      MATCH(1,
         (A75&gt;='Campaign Metadata'!B:B)*
         (A75&lt;='Campaign Metadata'!C:C),
      0)
   ),
"Non-Campaign")</f>
        <v>Non-Campaign</v>
      </c>
    </row>
    <row r="76" spans="1:8" ht="15.75" customHeight="1">
      <c r="A76" s="4">
        <v>45614</v>
      </c>
      <c r="B76" s="1" t="s">
        <v>33</v>
      </c>
      <c r="C76" s="5">
        <v>793</v>
      </c>
      <c r="D76" s="5">
        <v>111</v>
      </c>
      <c r="E76" s="5">
        <v>333500</v>
      </c>
      <c r="F76" s="6">
        <v>6.3600000000000004E-2</v>
      </c>
      <c r="G76" s="5">
        <v>8910</v>
      </c>
      <c r="H76" s="3" t="str" cm="1">
        <f t="array" ref="H76">IFERROR(
   INDEX('Campaign Metadata'!A:A,
      MATCH(1,
         (A76&gt;='Campaign Metadata'!B:B)*
         (A76&lt;='Campaign Metadata'!C:C),
      0)
   ),
"Non-Campaign")</f>
        <v>Non-Campaign</v>
      </c>
    </row>
    <row r="77" spans="1:8" ht="15.75" customHeight="1">
      <c r="A77" s="4">
        <v>45621</v>
      </c>
      <c r="B77" s="1" t="s">
        <v>15</v>
      </c>
      <c r="C77" s="5">
        <v>663</v>
      </c>
      <c r="D77" s="5">
        <v>213</v>
      </c>
      <c r="E77" s="5">
        <v>352677</v>
      </c>
      <c r="F77" s="6">
        <v>0.09</v>
      </c>
      <c r="G77" s="5">
        <v>20438</v>
      </c>
      <c r="H77" s="3" t="str" cm="1">
        <f t="array" ref="H77">IFERROR(
   INDEX('Campaign Metadata'!A:A,
      MATCH(1,
         (A77&gt;='Campaign Metadata'!B:B)*
         (A77&lt;='Campaign Metadata'!C:C),
      0)
   ),
"Non-Campaign")</f>
        <v>Non-Campaign</v>
      </c>
    </row>
    <row r="78" spans="1:8" ht="15.75" customHeight="1">
      <c r="A78" s="4">
        <v>45621</v>
      </c>
      <c r="B78" s="1" t="s">
        <v>26</v>
      </c>
      <c r="C78" s="5">
        <v>954</v>
      </c>
      <c r="D78" s="5">
        <v>271</v>
      </c>
      <c r="E78" s="5">
        <v>160936</v>
      </c>
      <c r="F78" s="6">
        <v>8.8300000000000003E-2</v>
      </c>
      <c r="G78" s="5">
        <v>8760</v>
      </c>
      <c r="H78" s="3" t="str" cm="1">
        <f t="array" ref="H78">IFERROR(
   INDEX('Campaign Metadata'!A:A,
      MATCH(1,
         (A78&gt;='Campaign Metadata'!B:B)*
         (A78&lt;='Campaign Metadata'!C:C),
      0)
   ),
"Non-Campaign")</f>
        <v>Non-Campaign</v>
      </c>
    </row>
    <row r="79" spans="1:8" ht="15.75" customHeight="1">
      <c r="A79" s="4">
        <v>45621</v>
      </c>
      <c r="B79" s="1" t="s">
        <v>33</v>
      </c>
      <c r="C79" s="5">
        <v>1313</v>
      </c>
      <c r="D79" s="5">
        <v>159</v>
      </c>
      <c r="E79" s="5">
        <v>197183</v>
      </c>
      <c r="F79" s="6">
        <v>9.7100000000000006E-2</v>
      </c>
      <c r="G79" s="5">
        <v>6625</v>
      </c>
      <c r="H79" s="3" t="str" cm="1">
        <f t="array" ref="H79">IFERROR(
   INDEX('Campaign Metadata'!A:A,
      MATCH(1,
         (A79&gt;='Campaign Metadata'!B:B)*
         (A79&lt;='Campaign Metadata'!C:C),
      0)
   ),
"Non-Campaign")</f>
        <v>Non-Campaign</v>
      </c>
    </row>
    <row r="80" spans="1:8" ht="15.75" customHeight="1">
      <c r="A80" s="4">
        <v>45628</v>
      </c>
      <c r="B80" s="1" t="s">
        <v>15</v>
      </c>
      <c r="C80" s="5">
        <v>895</v>
      </c>
      <c r="D80" s="5">
        <v>87</v>
      </c>
      <c r="E80" s="5">
        <v>171271</v>
      </c>
      <c r="F80" s="6">
        <v>6.6799999999999998E-2</v>
      </c>
      <c r="G80" s="5">
        <v>23329</v>
      </c>
      <c r="H80" s="3" t="str" cm="1">
        <f t="array" ref="H80">IFERROR(
   INDEX('Campaign Metadata'!A:A,
      MATCH(1,
         (A80&gt;='Campaign Metadata'!B:B)*
         (A80&lt;='Campaign Metadata'!C:C),
      0)
   ),
"Non-Campaign")</f>
        <v>Wrapped2024</v>
      </c>
    </row>
    <row r="81" spans="1:8" ht="15.75" customHeight="1">
      <c r="A81" s="4">
        <v>45628</v>
      </c>
      <c r="B81" s="1" t="s">
        <v>26</v>
      </c>
      <c r="C81" s="5">
        <v>1027</v>
      </c>
      <c r="D81" s="5">
        <v>156</v>
      </c>
      <c r="E81" s="5">
        <v>111293</v>
      </c>
      <c r="F81" s="6">
        <v>5.5099999999999996E-2</v>
      </c>
      <c r="G81" s="5">
        <v>7299</v>
      </c>
      <c r="H81" s="3" t="str" cm="1">
        <f t="array" ref="H81">IFERROR(
   INDEX('Campaign Metadata'!A:A,
      MATCH(1,
         (A81&gt;='Campaign Metadata'!B:B)*
         (A81&lt;='Campaign Metadata'!C:C),
      0)
   ),
"Non-Campaign")</f>
        <v>Wrapped2024</v>
      </c>
    </row>
    <row r="82" spans="1:8" ht="15.75" customHeight="1">
      <c r="A82" s="4">
        <v>45628</v>
      </c>
      <c r="B82" s="1" t="s">
        <v>33</v>
      </c>
      <c r="C82" s="5">
        <v>990</v>
      </c>
      <c r="D82" s="5">
        <v>286</v>
      </c>
      <c r="E82" s="5">
        <v>351493</v>
      </c>
      <c r="F82" s="6">
        <v>7.9699999999999993E-2</v>
      </c>
      <c r="G82" s="5">
        <v>14496</v>
      </c>
      <c r="H82" s="3" t="str" cm="1">
        <f t="array" ref="H82">IFERROR(
   INDEX('Campaign Metadata'!A:A,
      MATCH(1,
         (A82&gt;='Campaign Metadata'!B:B)*
         (A82&lt;='Campaign Metadata'!C:C),
      0)
   ),
"Non-Campaign")</f>
        <v>Wrapped2024</v>
      </c>
    </row>
    <row r="83" spans="1:8" ht="15.75" customHeight="1">
      <c r="A83" s="4">
        <v>45635</v>
      </c>
      <c r="B83" s="1" t="s">
        <v>15</v>
      </c>
      <c r="C83" s="5">
        <v>875</v>
      </c>
      <c r="D83" s="5">
        <v>264</v>
      </c>
      <c r="E83" s="5">
        <v>345631</v>
      </c>
      <c r="F83" s="6">
        <v>9.1799999999999993E-2</v>
      </c>
      <c r="G83" s="5">
        <v>25703</v>
      </c>
      <c r="H83" s="3" t="str" cm="1">
        <f t="array" ref="H83">IFERROR(
   INDEX('Campaign Metadata'!A:A,
      MATCH(1,
         (A83&gt;='Campaign Metadata'!B:B)*
         (A83&lt;='Campaign Metadata'!C:C),
      0)
   ),
"Non-Campaign")</f>
        <v>Wrapped2024</v>
      </c>
    </row>
    <row r="84" spans="1:8" ht="15.75" customHeight="1">
      <c r="A84" s="4">
        <v>45635</v>
      </c>
      <c r="B84" s="1" t="s">
        <v>26</v>
      </c>
      <c r="C84" s="5">
        <v>599</v>
      </c>
      <c r="D84" s="5">
        <v>194</v>
      </c>
      <c r="E84" s="5">
        <v>105622</v>
      </c>
      <c r="F84" s="6">
        <v>6.4399999999999999E-2</v>
      </c>
      <c r="G84" s="5">
        <v>15108</v>
      </c>
      <c r="H84" s="3" t="str" cm="1">
        <f t="array" ref="H84">IFERROR(
   INDEX('Campaign Metadata'!A:A,
      MATCH(1,
         (A84&gt;='Campaign Metadata'!B:B)*
         (A84&lt;='Campaign Metadata'!C:C),
      0)
   ),
"Non-Campaign")</f>
        <v>Wrapped2024</v>
      </c>
    </row>
    <row r="85" spans="1:8" ht="15.75" customHeight="1">
      <c r="A85" s="4">
        <v>45635</v>
      </c>
      <c r="B85" s="1" t="s">
        <v>33</v>
      </c>
      <c r="C85" s="5">
        <v>630</v>
      </c>
      <c r="D85" s="5">
        <v>248</v>
      </c>
      <c r="E85" s="5">
        <v>119054</v>
      </c>
      <c r="F85" s="6">
        <v>5.0199999999999995E-2</v>
      </c>
      <c r="G85" s="5">
        <v>18867</v>
      </c>
      <c r="H85" s="3" t="str" cm="1">
        <f t="array" ref="H85">IFERROR(
   INDEX('Campaign Metadata'!A:A,
      MATCH(1,
         (A85&gt;='Campaign Metadata'!B:B)*
         (A85&lt;='Campaign Metadata'!C:C),
      0)
   ),
"Non-Campaign")</f>
        <v>Wrapped2024</v>
      </c>
    </row>
    <row r="86" spans="1:8" ht="15.75" customHeight="1">
      <c r="A86" s="4">
        <v>45642</v>
      </c>
      <c r="B86" s="1" t="s">
        <v>15</v>
      </c>
      <c r="C86" s="5">
        <v>1350</v>
      </c>
      <c r="D86" s="5">
        <v>233</v>
      </c>
      <c r="E86" s="5">
        <v>171670</v>
      </c>
      <c r="F86" s="6">
        <v>4.53E-2</v>
      </c>
      <c r="G86" s="5">
        <v>17574</v>
      </c>
      <c r="H86" s="3" t="str" cm="1">
        <f t="array" ref="H86">IFERROR(
   INDEX('Campaign Metadata'!A:A,
      MATCH(1,
         (A86&gt;='Campaign Metadata'!B:B)*
         (A86&lt;='Campaign Metadata'!C:C),
      0)
   ),
"Non-Campaign")</f>
        <v>Wrapped2024</v>
      </c>
    </row>
    <row r="87" spans="1:8" ht="15.75" customHeight="1">
      <c r="A87" s="4">
        <v>45642</v>
      </c>
      <c r="B87" s="1" t="s">
        <v>26</v>
      </c>
      <c r="C87" s="5">
        <v>632</v>
      </c>
      <c r="D87" s="5">
        <v>155</v>
      </c>
      <c r="E87" s="5">
        <v>170432</v>
      </c>
      <c r="F87" s="6">
        <v>9.1700000000000004E-2</v>
      </c>
      <c r="G87" s="5">
        <v>12840</v>
      </c>
      <c r="H87" s="3" t="str" cm="1">
        <f t="array" ref="H87">IFERROR(
   INDEX('Campaign Metadata'!A:A,
      MATCH(1,
         (A87&gt;='Campaign Metadata'!B:B)*
         (A87&lt;='Campaign Metadata'!C:C),
      0)
   ),
"Non-Campaign")</f>
        <v>Wrapped2024</v>
      </c>
    </row>
    <row r="88" spans="1:8" ht="15.75" customHeight="1">
      <c r="A88" s="4">
        <v>45642</v>
      </c>
      <c r="B88" s="1" t="s">
        <v>33</v>
      </c>
      <c r="C88" s="5">
        <v>1182</v>
      </c>
      <c r="D88" s="5">
        <v>83</v>
      </c>
      <c r="E88" s="5">
        <v>140300</v>
      </c>
      <c r="F88" s="6">
        <v>3.27E-2</v>
      </c>
      <c r="G88" s="5">
        <v>21079</v>
      </c>
      <c r="H88" s="3" t="str" cm="1">
        <f t="array" ref="H88">IFERROR(
   INDEX('Campaign Metadata'!A:A,
      MATCH(1,
         (A88&gt;='Campaign Metadata'!B:B)*
         (A88&lt;='Campaign Metadata'!C:C),
      0)
   ),
"Non-Campaign")</f>
        <v>Wrapped2024</v>
      </c>
    </row>
    <row r="89" spans="1:8" ht="15.75" customHeight="1">
      <c r="A89" s="4">
        <v>45649</v>
      </c>
      <c r="B89" s="1" t="s">
        <v>15</v>
      </c>
      <c r="C89" s="5">
        <v>661</v>
      </c>
      <c r="D89" s="5">
        <v>94</v>
      </c>
      <c r="E89" s="5">
        <v>116538</v>
      </c>
      <c r="F89" s="6">
        <v>5.3099999999999994E-2</v>
      </c>
      <c r="G89" s="5">
        <v>23486</v>
      </c>
      <c r="H89" s="3" t="str" cm="1">
        <f t="array" ref="H89">IFERROR(
   INDEX('Campaign Metadata'!A:A,
      MATCH(1,
         (A89&gt;='Campaign Metadata'!B:B)*
         (A89&lt;='Campaign Metadata'!C:C),
      0)
   ),
"Non-Campaign")</f>
        <v>Wrapped2024</v>
      </c>
    </row>
    <row r="90" spans="1:8" ht="15.75" customHeight="1">
      <c r="A90" s="4">
        <v>45649</v>
      </c>
      <c r="B90" s="1" t="s">
        <v>26</v>
      </c>
      <c r="C90" s="5">
        <v>1360</v>
      </c>
      <c r="D90" s="5">
        <v>227</v>
      </c>
      <c r="E90" s="5">
        <v>176902</v>
      </c>
      <c r="F90" s="6">
        <v>6.0299999999999999E-2</v>
      </c>
      <c r="G90" s="5">
        <v>5960</v>
      </c>
      <c r="H90" s="3" t="str" cm="1">
        <f t="array" ref="H90">IFERROR(
   INDEX('Campaign Metadata'!A:A,
      MATCH(1,
         (A90&gt;='Campaign Metadata'!B:B)*
         (A90&lt;='Campaign Metadata'!C:C),
      0)
   ),
"Non-Campaign")</f>
        <v>Wrapped2024</v>
      </c>
    </row>
    <row r="91" spans="1:8" ht="15.75" customHeight="1">
      <c r="A91" s="4">
        <v>45649</v>
      </c>
      <c r="B91" s="1" t="s">
        <v>33</v>
      </c>
      <c r="C91" s="5">
        <v>935</v>
      </c>
      <c r="D91" s="5">
        <v>85</v>
      </c>
      <c r="E91" s="5">
        <v>326821</v>
      </c>
      <c r="F91" s="6">
        <v>8.8900000000000007E-2</v>
      </c>
      <c r="G91" s="5">
        <v>13301</v>
      </c>
      <c r="H91" s="3" t="str" cm="1">
        <f t="array" ref="H91">IFERROR(
   INDEX('Campaign Metadata'!A:A,
      MATCH(1,
         (A91&gt;='Campaign Metadata'!B:B)*
         (A91&lt;='Campaign Metadata'!C:C),
      0)
   ),
"Non-Campaign")</f>
        <v>Wrapped2024</v>
      </c>
    </row>
    <row r="92" spans="1:8" ht="15.75" customHeight="1">
      <c r="A92" s="4">
        <v>45656</v>
      </c>
      <c r="B92" s="1" t="s">
        <v>15</v>
      </c>
      <c r="C92" s="5">
        <v>664</v>
      </c>
      <c r="D92" s="5">
        <v>251</v>
      </c>
      <c r="E92" s="5">
        <v>240598</v>
      </c>
      <c r="F92" s="6">
        <v>4.7899999999999998E-2</v>
      </c>
      <c r="G92" s="5">
        <v>10563</v>
      </c>
      <c r="H92" s="3" t="str" cm="1">
        <f t="array" ref="H92">IFERROR(
   INDEX('Campaign Metadata'!A:A,
      MATCH(1,
         (A92&gt;='Campaign Metadata'!B:B)*
         (A92&lt;='Campaign Metadata'!C:C),
      0)
   ),
"Non-Campaign")</f>
        <v>Wrapped2024</v>
      </c>
    </row>
    <row r="93" spans="1:8" ht="15.75" customHeight="1">
      <c r="A93" s="4">
        <v>45656</v>
      </c>
      <c r="B93" s="1" t="s">
        <v>26</v>
      </c>
      <c r="C93" s="5">
        <v>1490</v>
      </c>
      <c r="D93" s="5">
        <v>103</v>
      </c>
      <c r="E93" s="5">
        <v>373274</v>
      </c>
      <c r="F93" s="6">
        <v>4.8000000000000001E-2</v>
      </c>
      <c r="G93" s="5">
        <v>19949</v>
      </c>
      <c r="H93" s="3" t="str" cm="1">
        <f t="array" ref="H93">IFERROR(
   INDEX('Campaign Metadata'!A:A,
      MATCH(1,
         (A93&gt;='Campaign Metadata'!B:B)*
         (A93&lt;='Campaign Metadata'!C:C),
      0)
   ),
"Non-Campaign")</f>
        <v>Wrapped2024</v>
      </c>
    </row>
    <row r="94" spans="1:8" ht="15.75" customHeight="1">
      <c r="A94" s="4">
        <v>45656</v>
      </c>
      <c r="B94" s="1" t="s">
        <v>33</v>
      </c>
      <c r="C94" s="5">
        <v>601</v>
      </c>
      <c r="D94" s="5">
        <v>64</v>
      </c>
      <c r="E94" s="5">
        <v>123272</v>
      </c>
      <c r="F94" s="6">
        <v>4.07E-2</v>
      </c>
      <c r="G94" s="5">
        <v>14273</v>
      </c>
      <c r="H94" s="3" t="str" cm="1">
        <f t="array" ref="H94">IFERROR(
   INDEX('Campaign Metadata'!A:A,
      MATCH(1,
         (A94&gt;='Campaign Metadata'!B:B)*
         (A94&lt;='Campaign Metadata'!C:C),
      0)
   ),
"Non-Campaign")</f>
        <v>Wrapped2024</v>
      </c>
    </row>
    <row r="95" spans="1:8" ht="15.75" customHeight="1">
      <c r="A95" s="4">
        <v>45663</v>
      </c>
      <c r="B95" s="1" t="s">
        <v>15</v>
      </c>
      <c r="C95" s="5">
        <v>613</v>
      </c>
      <c r="D95" s="5">
        <v>170</v>
      </c>
      <c r="E95" s="5">
        <v>139266</v>
      </c>
      <c r="F95" s="6">
        <v>6.0599999999999994E-2</v>
      </c>
      <c r="G95" s="5">
        <v>9247</v>
      </c>
      <c r="H95" s="3" t="str" cm="1">
        <f t="array" ref="H95">IFERROR(
   INDEX('Campaign Metadata'!A:A,
      MATCH(1,
         (A95&gt;='Campaign Metadata'!B:B)*
         (A95&lt;='Campaign Metadata'!C:C),
      0)
   ),
"Non-Campaign")</f>
        <v>Non-Campaign</v>
      </c>
    </row>
    <row r="96" spans="1:8" ht="15.75" customHeight="1">
      <c r="A96" s="4">
        <v>45663</v>
      </c>
      <c r="B96" s="1" t="s">
        <v>26</v>
      </c>
      <c r="C96" s="5">
        <v>1340</v>
      </c>
      <c r="D96" s="5">
        <v>57</v>
      </c>
      <c r="E96" s="5">
        <v>155927</v>
      </c>
      <c r="F96" s="6">
        <v>7.7899999999999997E-2</v>
      </c>
      <c r="G96" s="5">
        <v>11972</v>
      </c>
      <c r="H96" s="3" t="str" cm="1">
        <f t="array" ref="H96">IFERROR(
   INDEX('Campaign Metadata'!A:A,
      MATCH(1,
         (A96&gt;='Campaign Metadata'!B:B)*
         (A96&lt;='Campaign Metadata'!C:C),
      0)
   ),
"Non-Campaign")</f>
        <v>Non-Campaign</v>
      </c>
    </row>
    <row r="97" spans="1:8" ht="15.75" customHeight="1">
      <c r="A97" s="4">
        <v>45663</v>
      </c>
      <c r="B97" s="1" t="s">
        <v>33</v>
      </c>
      <c r="C97" s="5">
        <v>953</v>
      </c>
      <c r="D97" s="5">
        <v>228</v>
      </c>
      <c r="E97" s="5">
        <v>258398</v>
      </c>
      <c r="F97" s="6">
        <v>9.0500000000000011E-2</v>
      </c>
      <c r="G97" s="5">
        <v>13314</v>
      </c>
      <c r="H97" s="3" t="str" cm="1">
        <f t="array" ref="H97">IFERROR(
   INDEX('Campaign Metadata'!A:A,
      MATCH(1,
         (A97&gt;='Campaign Metadata'!B:B)*
         (A97&lt;='Campaign Metadata'!C:C),
      0)
   ),
"Non-Campaign")</f>
        <v>Non-Campaign</v>
      </c>
    </row>
    <row r="98" spans="1:8" ht="15.75" customHeight="1">
      <c r="A98" s="4">
        <v>45670</v>
      </c>
      <c r="B98" s="1" t="s">
        <v>15</v>
      </c>
      <c r="C98" s="5">
        <v>532</v>
      </c>
      <c r="D98" s="5">
        <v>65</v>
      </c>
      <c r="E98" s="5">
        <v>338561</v>
      </c>
      <c r="F98" s="6">
        <v>3.5000000000000003E-2</v>
      </c>
      <c r="G98" s="5">
        <v>14749</v>
      </c>
      <c r="H98" s="3" t="str" cm="1">
        <f t="array" ref="H98">IFERROR(
   INDEX('Campaign Metadata'!A:A,
      MATCH(1,
         (A98&gt;='Campaign Metadata'!B:B)*
         (A98&lt;='Campaign Metadata'!C:C),
      0)
   ),
"Non-Campaign")</f>
        <v>ChillVibes</v>
      </c>
    </row>
    <row r="99" spans="1:8" ht="15.75" customHeight="1">
      <c r="A99" s="4">
        <v>45670</v>
      </c>
      <c r="B99" s="1" t="s">
        <v>26</v>
      </c>
      <c r="C99" s="5">
        <v>1414</v>
      </c>
      <c r="D99" s="5">
        <v>60</v>
      </c>
      <c r="E99" s="5">
        <v>341856</v>
      </c>
      <c r="F99" s="6">
        <v>8.7599999999999997E-2</v>
      </c>
      <c r="G99" s="5">
        <v>6868</v>
      </c>
      <c r="H99" s="3" t="str" cm="1">
        <f t="array" ref="H99">IFERROR(
   INDEX('Campaign Metadata'!A:A,
      MATCH(1,
         (A99&gt;='Campaign Metadata'!B:B)*
         (A99&lt;='Campaign Metadata'!C:C),
      0)
   ),
"Non-Campaign")</f>
        <v>ChillVibes</v>
      </c>
    </row>
    <row r="100" spans="1:8" ht="15.75" customHeight="1">
      <c r="A100" s="4">
        <v>45670</v>
      </c>
      <c r="B100" s="1" t="s">
        <v>33</v>
      </c>
      <c r="C100" s="5">
        <v>685</v>
      </c>
      <c r="D100" s="5">
        <v>165</v>
      </c>
      <c r="E100" s="5">
        <v>175860</v>
      </c>
      <c r="F100" s="6">
        <v>6.2600000000000003E-2</v>
      </c>
      <c r="G100" s="5">
        <v>6027</v>
      </c>
      <c r="H100" s="3" t="str" cm="1">
        <f t="array" ref="H100">IFERROR(
   INDEX('Campaign Metadata'!A:A,
      MATCH(1,
         (A100&gt;='Campaign Metadata'!B:B)*
         (A100&lt;='Campaign Metadata'!C:C),
      0)
   ),
"Non-Campaign")</f>
        <v>ChillVibes</v>
      </c>
    </row>
    <row r="101" spans="1:8" ht="15.75" customHeight="1">
      <c r="A101" s="4">
        <v>45677</v>
      </c>
      <c r="B101" s="1" t="s">
        <v>15</v>
      </c>
      <c r="C101" s="5">
        <v>601</v>
      </c>
      <c r="D101" s="5">
        <v>159</v>
      </c>
      <c r="E101" s="5">
        <v>327722</v>
      </c>
      <c r="F101" s="6">
        <v>3.3300000000000003E-2</v>
      </c>
      <c r="G101" s="5">
        <v>25267</v>
      </c>
      <c r="H101" s="3" t="str" cm="1">
        <f t="array" ref="H101">IFERROR(
   INDEX('Campaign Metadata'!A:A,
      MATCH(1,
         (A101&gt;='Campaign Metadata'!B:B)*
         (A101&lt;='Campaign Metadata'!C:C),
      0)
   ),
"Non-Campaign")</f>
        <v>ChillVibes</v>
      </c>
    </row>
    <row r="102" spans="1:8" ht="15.75" customHeight="1">
      <c r="A102" s="4">
        <v>45677</v>
      </c>
      <c r="B102" s="1" t="s">
        <v>26</v>
      </c>
      <c r="C102" s="5">
        <v>841</v>
      </c>
      <c r="D102" s="5">
        <v>295</v>
      </c>
      <c r="E102" s="5">
        <v>271638</v>
      </c>
      <c r="F102" s="6">
        <v>9.1499999999999998E-2</v>
      </c>
      <c r="G102" s="5">
        <v>5900</v>
      </c>
      <c r="H102" s="3" t="str" cm="1">
        <f t="array" ref="H102">IFERROR(
   INDEX('Campaign Metadata'!A:A,
      MATCH(1,
         (A102&gt;='Campaign Metadata'!B:B)*
         (A102&lt;='Campaign Metadata'!C:C),
      0)
   ),
"Non-Campaign")</f>
        <v>ChillVibes</v>
      </c>
    </row>
    <row r="103" spans="1:8" ht="15.75" customHeight="1">
      <c r="A103" s="4">
        <v>45677</v>
      </c>
      <c r="B103" s="1" t="s">
        <v>33</v>
      </c>
      <c r="C103" s="5">
        <v>1105</v>
      </c>
      <c r="D103" s="5">
        <v>261</v>
      </c>
      <c r="E103" s="5">
        <v>333851</v>
      </c>
      <c r="F103" s="6">
        <v>6.0299999999999999E-2</v>
      </c>
      <c r="G103" s="5">
        <v>11181</v>
      </c>
      <c r="H103" s="3" t="str" cm="1">
        <f t="array" ref="H103">IFERROR(
   INDEX('Campaign Metadata'!A:A,
      MATCH(1,
         (A103&gt;='Campaign Metadata'!B:B)*
         (A103&lt;='Campaign Metadata'!C:C),
      0)
   ),
"Non-Campaign")</f>
        <v>ChillVibes</v>
      </c>
    </row>
    <row r="104" spans="1:8" ht="15.75" customHeight="1">
      <c r="A104" s="4">
        <v>45684</v>
      </c>
      <c r="B104" s="1" t="s">
        <v>15</v>
      </c>
      <c r="C104" s="5">
        <v>566</v>
      </c>
      <c r="D104" s="5">
        <v>225</v>
      </c>
      <c r="E104" s="5">
        <v>368984</v>
      </c>
      <c r="F104" s="6">
        <v>9.820000000000001E-2</v>
      </c>
      <c r="G104" s="5">
        <v>9592</v>
      </c>
      <c r="H104" s="3" t="str" cm="1">
        <f t="array" ref="H104">IFERROR(
   INDEX('Campaign Metadata'!A:A,
      MATCH(1,
         (A104&gt;='Campaign Metadata'!B:B)*
         (A104&lt;='Campaign Metadata'!C:C),
      0)
   ),
"Non-Campaign")</f>
        <v>ChillVibes</v>
      </c>
    </row>
    <row r="105" spans="1:8" ht="15.75" customHeight="1">
      <c r="A105" s="4">
        <v>45684</v>
      </c>
      <c r="B105" s="1" t="s">
        <v>26</v>
      </c>
      <c r="C105" s="5">
        <v>1149</v>
      </c>
      <c r="D105" s="5">
        <v>280</v>
      </c>
      <c r="E105" s="5">
        <v>167310</v>
      </c>
      <c r="F105" s="6">
        <v>3.7000000000000005E-2</v>
      </c>
      <c r="G105" s="5">
        <v>5291</v>
      </c>
      <c r="H105" s="3" t="str" cm="1">
        <f t="array" ref="H105">IFERROR(
   INDEX('Campaign Metadata'!A:A,
      MATCH(1,
         (A105&gt;='Campaign Metadata'!B:B)*
         (A105&lt;='Campaign Metadata'!C:C),
      0)
   ),
"Non-Campaign")</f>
        <v>ChillVibes</v>
      </c>
    </row>
    <row r="106" spans="1:8" ht="15.75" customHeight="1">
      <c r="A106" s="4">
        <v>45684</v>
      </c>
      <c r="B106" s="1" t="s">
        <v>33</v>
      </c>
      <c r="C106" s="5">
        <v>819</v>
      </c>
      <c r="D106" s="5">
        <v>101</v>
      </c>
      <c r="E106" s="5">
        <v>194811</v>
      </c>
      <c r="F106" s="6">
        <v>3.3500000000000002E-2</v>
      </c>
      <c r="G106" s="5">
        <v>22244</v>
      </c>
      <c r="H106" s="3" t="str" cm="1">
        <f t="array" ref="H106">IFERROR(
   INDEX('Campaign Metadata'!A:A,
      MATCH(1,
         (A106&gt;='Campaign Metadata'!B:B)*
         (A106&lt;='Campaign Metadata'!C:C),
      0)
   ),
"Non-Campaign")</f>
        <v>ChillVibes</v>
      </c>
    </row>
    <row r="107" spans="1:8" ht="15.75" customHeight="1">
      <c r="A107" s="4">
        <v>45691</v>
      </c>
      <c r="B107" s="1" t="s">
        <v>15</v>
      </c>
      <c r="C107" s="5">
        <v>795</v>
      </c>
      <c r="D107" s="5">
        <v>60</v>
      </c>
      <c r="E107" s="5">
        <v>314982</v>
      </c>
      <c r="F107" s="6">
        <v>7.3099999999999998E-2</v>
      </c>
      <c r="G107" s="5">
        <v>6824</v>
      </c>
      <c r="H107" s="3" t="str" cm="1">
        <f t="array" ref="H107">IFERROR(
   INDEX('Campaign Metadata'!A:A,
      MATCH(1,
         (A107&gt;='Campaign Metadata'!B:B)*
         (A107&lt;='Campaign Metadata'!C:C),
      0)
   ),
"Non-Campaign")</f>
        <v>ChillVibes</v>
      </c>
    </row>
    <row r="108" spans="1:8" ht="15.75" customHeight="1">
      <c r="A108" s="4">
        <v>45691</v>
      </c>
      <c r="B108" s="1" t="s">
        <v>26</v>
      </c>
      <c r="C108" s="5">
        <v>681</v>
      </c>
      <c r="D108" s="5">
        <v>158</v>
      </c>
      <c r="E108" s="5">
        <v>75960</v>
      </c>
      <c r="F108" s="6">
        <v>3.1300000000000001E-2</v>
      </c>
      <c r="G108" s="5">
        <v>24112</v>
      </c>
      <c r="H108" s="3" t="str" cm="1">
        <f t="array" ref="H108">IFERROR(
   INDEX('Campaign Metadata'!A:A,
      MATCH(1,
         (A108&gt;='Campaign Metadata'!B:B)*
         (A108&lt;='Campaign Metadata'!C:C),
      0)
   ),
"Non-Campaign")</f>
        <v>ChillVibes</v>
      </c>
    </row>
    <row r="109" spans="1:8" ht="15.75" customHeight="1">
      <c r="A109" s="4">
        <v>45691</v>
      </c>
      <c r="B109" s="1" t="s">
        <v>33</v>
      </c>
      <c r="C109" s="5">
        <v>534</v>
      </c>
      <c r="D109" s="5">
        <v>112</v>
      </c>
      <c r="E109" s="5">
        <v>360759</v>
      </c>
      <c r="F109" s="6">
        <v>4.8899999999999999E-2</v>
      </c>
      <c r="G109" s="5">
        <v>25478</v>
      </c>
      <c r="H109" s="3" t="str" cm="1">
        <f t="array" ref="H109">IFERROR(
   INDEX('Campaign Metadata'!A:A,
      MATCH(1,
         (A109&gt;='Campaign Metadata'!B:B)*
         (A109&lt;='Campaign Metadata'!C:C),
      0)
   ),
"Non-Campaign")</f>
        <v>ChillVibes</v>
      </c>
    </row>
    <row r="110" spans="1:8" ht="15.75" customHeight="1">
      <c r="A110" s="4">
        <v>45698</v>
      </c>
      <c r="B110" s="1" t="s">
        <v>15</v>
      </c>
      <c r="C110" s="5">
        <v>1066</v>
      </c>
      <c r="D110" s="5">
        <v>151</v>
      </c>
      <c r="E110" s="5">
        <v>297090</v>
      </c>
      <c r="F110" s="6">
        <v>8.6300000000000002E-2</v>
      </c>
      <c r="G110" s="5">
        <v>11235</v>
      </c>
      <c r="H110" s="3" t="str" cm="1">
        <f t="array" ref="H110">IFERROR(
   INDEX('Campaign Metadata'!A:A,
      MATCH(1,
         (A110&gt;='Campaign Metadata'!B:B)*
         (A110&lt;='Campaign Metadata'!C:C),
      0)
   ),
"Non-Campaign")</f>
        <v>ChillVibes</v>
      </c>
    </row>
    <row r="111" spans="1:8" ht="15.75" customHeight="1">
      <c r="A111" s="4">
        <v>45698</v>
      </c>
      <c r="B111" s="1" t="s">
        <v>26</v>
      </c>
      <c r="C111" s="5">
        <v>1270</v>
      </c>
      <c r="D111" s="5">
        <v>162</v>
      </c>
      <c r="E111" s="5">
        <v>92040</v>
      </c>
      <c r="F111" s="6">
        <v>8.0299999999999996E-2</v>
      </c>
      <c r="G111" s="5">
        <v>6120</v>
      </c>
      <c r="H111" s="3" t="str" cm="1">
        <f t="array" ref="H111">IFERROR(
   INDEX('Campaign Metadata'!A:A,
      MATCH(1,
         (A111&gt;='Campaign Metadata'!B:B)*
         (A111&lt;='Campaign Metadata'!C:C),
      0)
   ),
"Non-Campaign")</f>
        <v>ChillVibes</v>
      </c>
    </row>
    <row r="112" spans="1:8" ht="15.75" customHeight="1">
      <c r="A112" s="4">
        <v>45698</v>
      </c>
      <c r="B112" s="1" t="s">
        <v>33</v>
      </c>
      <c r="C112" s="5">
        <v>536</v>
      </c>
      <c r="D112" s="5">
        <v>198</v>
      </c>
      <c r="E112" s="5">
        <v>174610</v>
      </c>
      <c r="F112" s="6">
        <v>7.85E-2</v>
      </c>
      <c r="G112" s="5">
        <v>20572</v>
      </c>
      <c r="H112" s="3" t="str" cm="1">
        <f t="array" ref="H112">IFERROR(
   INDEX('Campaign Metadata'!A:A,
      MATCH(1,
         (A112&gt;='Campaign Metadata'!B:B)*
         (A112&lt;='Campaign Metadata'!C:C),
      0)
   ),
"Non-Campaign")</f>
        <v>ChillVibes</v>
      </c>
    </row>
    <row r="113" spans="1:8" ht="15.75" customHeight="1">
      <c r="A113" s="4">
        <v>45705</v>
      </c>
      <c r="B113" s="1" t="s">
        <v>15</v>
      </c>
      <c r="C113" s="5">
        <v>819</v>
      </c>
      <c r="D113" s="5">
        <v>95</v>
      </c>
      <c r="E113" s="5">
        <v>177376</v>
      </c>
      <c r="F113" s="6">
        <v>6.1200000000000004E-2</v>
      </c>
      <c r="G113" s="5">
        <v>14975</v>
      </c>
      <c r="H113" s="3" t="str" cm="1">
        <f t="array" ref="H113">IFERROR(
   INDEX('Campaign Metadata'!A:A,
      MATCH(1,
         (A113&gt;='Campaign Metadata'!B:B)*
         (A113&lt;='Campaign Metadata'!C:C),
      0)
   ),
"Non-Campaign")</f>
        <v>Non-Campaign</v>
      </c>
    </row>
    <row r="114" spans="1:8" ht="15.75" customHeight="1">
      <c r="A114" s="4">
        <v>45705</v>
      </c>
      <c r="B114" s="1" t="s">
        <v>26</v>
      </c>
      <c r="C114" s="5">
        <v>681</v>
      </c>
      <c r="D114" s="5">
        <v>218</v>
      </c>
      <c r="E114" s="5">
        <v>198882</v>
      </c>
      <c r="F114" s="6">
        <v>7.1599999999999997E-2</v>
      </c>
      <c r="G114" s="5">
        <v>22234</v>
      </c>
      <c r="H114" s="3" t="str" cm="1">
        <f t="array" ref="H114">IFERROR(
   INDEX('Campaign Metadata'!A:A,
      MATCH(1,
         (A114&gt;='Campaign Metadata'!B:B)*
         (A114&lt;='Campaign Metadata'!C:C),
      0)
   ),
"Non-Campaign")</f>
        <v>Non-Campaign</v>
      </c>
    </row>
    <row r="115" spans="1:8" ht="15.75" customHeight="1">
      <c r="A115" s="4">
        <v>45705</v>
      </c>
      <c r="B115" s="1" t="s">
        <v>33</v>
      </c>
      <c r="C115" s="5">
        <v>646</v>
      </c>
      <c r="D115" s="5">
        <v>290</v>
      </c>
      <c r="E115" s="5">
        <v>336383</v>
      </c>
      <c r="F115" s="6">
        <v>7.0400000000000004E-2</v>
      </c>
      <c r="G115" s="5">
        <v>6532</v>
      </c>
      <c r="H115" s="3" t="str" cm="1">
        <f t="array" ref="H115">IFERROR(
   INDEX('Campaign Metadata'!A:A,
      MATCH(1,
         (A115&gt;='Campaign Metadata'!B:B)*
         (A115&lt;='Campaign Metadata'!C:C),
      0)
   ),
"Non-Campaign")</f>
        <v>Non-Campaign</v>
      </c>
    </row>
    <row r="116" spans="1:8" ht="15.75" customHeight="1">
      <c r="A116" s="4">
        <v>45712</v>
      </c>
      <c r="B116" s="1" t="s">
        <v>15</v>
      </c>
      <c r="C116" s="5">
        <v>645</v>
      </c>
      <c r="D116" s="5">
        <v>267</v>
      </c>
      <c r="E116" s="5">
        <v>346890</v>
      </c>
      <c r="F116" s="6">
        <v>3.7100000000000001E-2</v>
      </c>
      <c r="G116" s="5">
        <v>24858</v>
      </c>
      <c r="H116" s="3" t="str" cm="1">
        <f t="array" ref="H116">IFERROR(
   INDEX('Campaign Metadata'!A:A,
      MATCH(1,
         (A116&gt;='Campaign Metadata'!B:B)*
         (A116&lt;='Campaign Metadata'!C:C),
      0)
   ),
"Non-Campaign")</f>
        <v>Non-Campaign</v>
      </c>
    </row>
    <row r="117" spans="1:8" ht="15.75" customHeight="1">
      <c r="A117" s="4">
        <v>45712</v>
      </c>
      <c r="B117" s="1" t="s">
        <v>26</v>
      </c>
      <c r="C117" s="5">
        <v>886</v>
      </c>
      <c r="D117" s="5">
        <v>250</v>
      </c>
      <c r="E117" s="5">
        <v>168170</v>
      </c>
      <c r="F117" s="6">
        <v>4.1200000000000001E-2</v>
      </c>
      <c r="G117" s="5">
        <v>13883</v>
      </c>
      <c r="H117" s="3" t="str" cm="1">
        <f t="array" ref="H117">IFERROR(
   INDEX('Campaign Metadata'!A:A,
      MATCH(1,
         (A117&gt;='Campaign Metadata'!B:B)*
         (A117&lt;='Campaign Metadata'!C:C),
      0)
   ),
"Non-Campaign")</f>
        <v>Non-Campaign</v>
      </c>
    </row>
    <row r="118" spans="1:8" ht="15.75" customHeight="1">
      <c r="A118" s="4">
        <v>45712</v>
      </c>
      <c r="B118" s="1" t="s">
        <v>33</v>
      </c>
      <c r="C118" s="5">
        <v>978</v>
      </c>
      <c r="D118" s="5">
        <v>279</v>
      </c>
      <c r="E118" s="5">
        <v>368872</v>
      </c>
      <c r="F118" s="6">
        <v>6.8199999999999997E-2</v>
      </c>
      <c r="G118" s="5">
        <v>18654</v>
      </c>
      <c r="H118" s="3" t="str" cm="1">
        <f t="array" ref="H118">IFERROR(
   INDEX('Campaign Metadata'!A:A,
      MATCH(1,
         (A118&gt;='Campaign Metadata'!B:B)*
         (A118&lt;='Campaign Metadata'!C:C),
      0)
   ),
"Non-Campaign")</f>
        <v>Non-Campaign</v>
      </c>
    </row>
    <row r="119" spans="1:8" ht="15.75" customHeight="1">
      <c r="A119" s="4">
        <v>45719</v>
      </c>
      <c r="B119" s="1" t="s">
        <v>15</v>
      </c>
      <c r="C119" s="5">
        <v>1444</v>
      </c>
      <c r="D119" s="5">
        <v>165</v>
      </c>
      <c r="E119" s="5">
        <v>116436</v>
      </c>
      <c r="F119" s="6">
        <v>8.2200000000000009E-2</v>
      </c>
      <c r="G119" s="5">
        <v>25234</v>
      </c>
      <c r="H119" s="3" t="str" cm="1">
        <f t="array" ref="H119">IFERROR(
   INDEX('Campaign Metadata'!A:A,
      MATCH(1,
         (A119&gt;='Campaign Metadata'!B:B)*
         (A119&lt;='Campaign Metadata'!C:C),
      0)
   ),
"Non-Campaign")</f>
        <v>IndieWave</v>
      </c>
    </row>
    <row r="120" spans="1:8" ht="15.75" customHeight="1">
      <c r="A120" s="4">
        <v>45719</v>
      </c>
      <c r="B120" s="1" t="s">
        <v>26</v>
      </c>
      <c r="C120" s="5">
        <v>1234</v>
      </c>
      <c r="D120" s="5">
        <v>228</v>
      </c>
      <c r="E120" s="5">
        <v>127502</v>
      </c>
      <c r="F120" s="6">
        <v>7.7100000000000002E-2</v>
      </c>
      <c r="G120" s="5">
        <v>6772</v>
      </c>
      <c r="H120" s="3" t="str" cm="1">
        <f t="array" ref="H120">IFERROR(
   INDEX('Campaign Metadata'!A:A,
      MATCH(1,
         (A120&gt;='Campaign Metadata'!B:B)*
         (A120&lt;='Campaign Metadata'!C:C),
      0)
   ),
"Non-Campaign")</f>
        <v>IndieWave</v>
      </c>
    </row>
    <row r="121" spans="1:8" ht="15.75" customHeight="1">
      <c r="A121" s="4">
        <v>45719</v>
      </c>
      <c r="B121" s="1" t="s">
        <v>33</v>
      </c>
      <c r="C121" s="5">
        <v>665</v>
      </c>
      <c r="D121" s="5">
        <v>187</v>
      </c>
      <c r="E121" s="5">
        <v>274567</v>
      </c>
      <c r="F121" s="6">
        <v>7.3899999999999993E-2</v>
      </c>
      <c r="G121" s="5">
        <v>22428</v>
      </c>
      <c r="H121" s="3" t="str" cm="1">
        <f t="array" ref="H121">IFERROR(
   INDEX('Campaign Metadata'!A:A,
      MATCH(1,
         (A121&gt;='Campaign Metadata'!B:B)*
         (A121&lt;='Campaign Metadata'!C:C),
      0)
   ),
"Non-Campaign")</f>
        <v>IndieWave</v>
      </c>
    </row>
    <row r="122" spans="1:8" ht="15.75" customHeight="1">
      <c r="A122" s="4">
        <v>45726</v>
      </c>
      <c r="B122" s="1" t="s">
        <v>15</v>
      </c>
      <c r="C122" s="5">
        <v>631</v>
      </c>
      <c r="D122" s="5">
        <v>86</v>
      </c>
      <c r="E122" s="5">
        <v>295090</v>
      </c>
      <c r="F122" s="6">
        <v>7.8899999999999998E-2</v>
      </c>
      <c r="G122" s="5">
        <v>11911</v>
      </c>
      <c r="H122" s="3" t="str" cm="1">
        <f t="array" ref="H122">IFERROR(
   INDEX('Campaign Metadata'!A:A,
      MATCH(1,
         (A122&gt;='Campaign Metadata'!B:B)*
         (A122&lt;='Campaign Metadata'!C:C),
      0)
   ),
"Non-Campaign")</f>
        <v>IndieWave</v>
      </c>
    </row>
    <row r="123" spans="1:8" ht="15.75" customHeight="1">
      <c r="A123" s="4">
        <v>45726</v>
      </c>
      <c r="B123" s="1" t="s">
        <v>26</v>
      </c>
      <c r="C123" s="5">
        <v>1159</v>
      </c>
      <c r="D123" s="5">
        <v>154</v>
      </c>
      <c r="E123" s="5">
        <v>194994</v>
      </c>
      <c r="F123" s="6">
        <v>6.3899999999999998E-2</v>
      </c>
      <c r="G123" s="5">
        <v>21900</v>
      </c>
      <c r="H123" s="3" t="str" cm="1">
        <f t="array" ref="H123">IFERROR(
   INDEX('Campaign Metadata'!A:A,
      MATCH(1,
         (A123&gt;='Campaign Metadata'!B:B)*
         (A123&lt;='Campaign Metadata'!C:C),
      0)
   ),
"Non-Campaign")</f>
        <v>IndieWave</v>
      </c>
    </row>
    <row r="124" spans="1:8" ht="15.75" customHeight="1">
      <c r="A124" s="4">
        <v>45726</v>
      </c>
      <c r="B124" s="1" t="s">
        <v>33</v>
      </c>
      <c r="C124" s="5">
        <v>950</v>
      </c>
      <c r="D124" s="5">
        <v>185</v>
      </c>
      <c r="E124" s="5">
        <v>340750</v>
      </c>
      <c r="F124" s="6">
        <v>6.7699999999999996E-2</v>
      </c>
      <c r="G124" s="5">
        <v>25542</v>
      </c>
      <c r="H124" s="3" t="str" cm="1">
        <f t="array" ref="H124">IFERROR(
   INDEX('Campaign Metadata'!A:A,
      MATCH(1,
         (A124&gt;='Campaign Metadata'!B:B)*
         (A124&lt;='Campaign Metadata'!C:C),
      0)
   ),
"Non-Campaign")</f>
        <v>IndieWave</v>
      </c>
    </row>
    <row r="125" spans="1:8" ht="15.75" customHeight="1">
      <c r="A125" s="4">
        <v>45733</v>
      </c>
      <c r="B125" s="1" t="s">
        <v>15</v>
      </c>
      <c r="C125" s="5">
        <v>693</v>
      </c>
      <c r="D125" s="5">
        <v>129</v>
      </c>
      <c r="E125" s="5">
        <v>296031</v>
      </c>
      <c r="F125" s="6">
        <v>3.4099999999999998E-2</v>
      </c>
      <c r="G125" s="5">
        <v>7140</v>
      </c>
      <c r="H125" s="3" t="str" cm="1">
        <f t="array" ref="H125">IFERROR(
   INDEX('Campaign Metadata'!A:A,
      MATCH(1,
         (A125&gt;='Campaign Metadata'!B:B)*
         (A125&lt;='Campaign Metadata'!C:C),
      0)
   ),
"Non-Campaign")</f>
        <v>IndieWave</v>
      </c>
    </row>
    <row r="126" spans="1:8" ht="15.75" customHeight="1">
      <c r="A126" s="4">
        <v>45733</v>
      </c>
      <c r="B126" s="1" t="s">
        <v>26</v>
      </c>
      <c r="C126" s="5">
        <v>576</v>
      </c>
      <c r="D126" s="5">
        <v>80</v>
      </c>
      <c r="E126" s="5">
        <v>345688</v>
      </c>
      <c r="F126" s="6">
        <v>4.1100000000000005E-2</v>
      </c>
      <c r="G126" s="5">
        <v>20474</v>
      </c>
      <c r="H126" s="3" t="str" cm="1">
        <f t="array" ref="H126">IFERROR(
   INDEX('Campaign Metadata'!A:A,
      MATCH(1,
         (A126&gt;='Campaign Metadata'!B:B)*
         (A126&lt;='Campaign Metadata'!C:C),
      0)
   ),
"Non-Campaign")</f>
        <v>IndieWave</v>
      </c>
    </row>
    <row r="127" spans="1:8" ht="15.75" customHeight="1">
      <c r="A127" s="4">
        <v>45733</v>
      </c>
      <c r="B127" s="1" t="s">
        <v>33</v>
      </c>
      <c r="C127" s="5">
        <v>1274</v>
      </c>
      <c r="D127" s="5">
        <v>146</v>
      </c>
      <c r="E127" s="5">
        <v>263488</v>
      </c>
      <c r="F127" s="6">
        <v>9.5799999999999996E-2</v>
      </c>
      <c r="G127" s="5">
        <v>8698</v>
      </c>
      <c r="H127" s="3" t="str" cm="1">
        <f t="array" ref="H127">IFERROR(
   INDEX('Campaign Metadata'!A:A,
      MATCH(1,
         (A127&gt;='Campaign Metadata'!B:B)*
         (A127&lt;='Campaign Metadata'!C:C),
      0)
   ),
"Non-Campaign")</f>
        <v>IndieWave</v>
      </c>
    </row>
    <row r="128" spans="1:8" ht="15.75" customHeight="1">
      <c r="A128" s="4">
        <v>45740</v>
      </c>
      <c r="B128" s="1" t="s">
        <v>15</v>
      </c>
      <c r="C128" s="5">
        <v>818</v>
      </c>
      <c r="D128" s="5">
        <v>253</v>
      </c>
      <c r="E128" s="5">
        <v>184911</v>
      </c>
      <c r="F128" s="6">
        <v>3.39E-2</v>
      </c>
      <c r="G128" s="5">
        <v>10402</v>
      </c>
      <c r="H128" s="3" t="str" cm="1">
        <f t="array" ref="H128">IFERROR(
   INDEX('Campaign Metadata'!A:A,
      MATCH(1,
         (A128&gt;='Campaign Metadata'!B:B)*
         (A128&lt;='Campaign Metadata'!C:C),
      0)
   ),
"Non-Campaign")</f>
        <v>IndieWave</v>
      </c>
    </row>
    <row r="129" spans="1:8" ht="15.75" customHeight="1">
      <c r="A129" s="4">
        <v>45740</v>
      </c>
      <c r="B129" s="1" t="s">
        <v>26</v>
      </c>
      <c r="C129" s="5">
        <v>975</v>
      </c>
      <c r="D129" s="5">
        <v>162</v>
      </c>
      <c r="E129" s="5">
        <v>124497</v>
      </c>
      <c r="F129" s="6">
        <v>9.5799999999999996E-2</v>
      </c>
      <c r="G129" s="5">
        <v>26618</v>
      </c>
      <c r="H129" s="3" t="str" cm="1">
        <f t="array" ref="H129">IFERROR(
   INDEX('Campaign Metadata'!A:A,
      MATCH(1,
         (A129&gt;='Campaign Metadata'!B:B)*
         (A129&lt;='Campaign Metadata'!C:C),
      0)
   ),
"Non-Campaign")</f>
        <v>IndieWave</v>
      </c>
    </row>
    <row r="130" spans="1:8" ht="15.75" customHeight="1">
      <c r="A130" s="4">
        <v>45740</v>
      </c>
      <c r="B130" s="1" t="s">
        <v>33</v>
      </c>
      <c r="C130" s="5">
        <v>1398</v>
      </c>
      <c r="D130" s="5">
        <v>97</v>
      </c>
      <c r="E130" s="5">
        <v>397607</v>
      </c>
      <c r="F130" s="6">
        <v>5.0900000000000001E-2</v>
      </c>
      <c r="G130" s="5">
        <v>7975</v>
      </c>
      <c r="H130" s="3" t="str" cm="1">
        <f t="array" ref="H130">IFERROR(
   INDEX('Campaign Metadata'!A:A,
      MATCH(1,
         (A130&gt;='Campaign Metadata'!B:B)*
         (A130&lt;='Campaign Metadata'!C:C),
      0)
   ),
"Non-Campaign")</f>
        <v>IndieWave</v>
      </c>
    </row>
    <row r="131" spans="1:8" ht="15.75" customHeight="1">
      <c r="A131" s="4">
        <v>45747</v>
      </c>
      <c r="B131" s="1" t="s">
        <v>15</v>
      </c>
      <c r="C131" s="5">
        <v>591</v>
      </c>
      <c r="D131" s="5">
        <v>155</v>
      </c>
      <c r="E131" s="5">
        <v>138521</v>
      </c>
      <c r="F131" s="6">
        <v>7.85E-2</v>
      </c>
      <c r="G131" s="5">
        <v>19054</v>
      </c>
      <c r="H131" s="3" t="str" cm="1">
        <f t="array" ref="H131">IFERROR(
   INDEX('Campaign Metadata'!A:A,
      MATCH(1,
         (A131&gt;='Campaign Metadata'!B:B)*
         (A131&lt;='Campaign Metadata'!C:C),
      0)
   ),
"Non-Campaign")</f>
        <v>IndieWave</v>
      </c>
    </row>
    <row r="132" spans="1:8" ht="15.75" customHeight="1">
      <c r="A132" s="4">
        <v>45747</v>
      </c>
      <c r="B132" s="1" t="s">
        <v>26</v>
      </c>
      <c r="C132" s="5">
        <v>1232</v>
      </c>
      <c r="D132" s="5">
        <v>254</v>
      </c>
      <c r="E132" s="5">
        <v>107718</v>
      </c>
      <c r="F132" s="6">
        <v>9.7100000000000006E-2</v>
      </c>
      <c r="G132" s="5">
        <v>13740</v>
      </c>
      <c r="H132" s="3" t="str" cm="1">
        <f t="array" ref="H132">IFERROR(
   INDEX('Campaign Metadata'!A:A,
      MATCH(1,
         (A132&gt;='Campaign Metadata'!B:B)*
         (A132&lt;='Campaign Metadata'!C:C),
      0)
   ),
"Non-Campaign")</f>
        <v>IndieWave</v>
      </c>
    </row>
    <row r="133" spans="1:8" ht="15.75" customHeight="1">
      <c r="A133" s="4">
        <v>45747</v>
      </c>
      <c r="B133" s="1" t="s">
        <v>33</v>
      </c>
      <c r="C133" s="5">
        <v>1425</v>
      </c>
      <c r="D133" s="5">
        <v>58</v>
      </c>
      <c r="E133" s="5">
        <v>202234</v>
      </c>
      <c r="F133" s="6">
        <v>6.6699999999999995E-2</v>
      </c>
      <c r="G133" s="5">
        <v>18442</v>
      </c>
      <c r="H133" s="3" t="str" cm="1">
        <f t="array" ref="H133">IFERROR(
   INDEX('Campaign Metadata'!A:A,
      MATCH(1,
         (A133&gt;='Campaign Metadata'!B:B)*
         (A133&lt;='Campaign Metadata'!C:C),
      0)
   ),
"Non-Campaign")</f>
        <v>IndieWave</v>
      </c>
    </row>
    <row r="134" spans="1:8" ht="15.75" customHeight="1">
      <c r="A134" s="4">
        <v>45754</v>
      </c>
      <c r="B134" s="1" t="s">
        <v>15</v>
      </c>
      <c r="C134" s="5">
        <v>1417</v>
      </c>
      <c r="D134" s="5">
        <v>80</v>
      </c>
      <c r="E134" s="5">
        <v>340987</v>
      </c>
      <c r="F134" s="6">
        <v>6.13E-2</v>
      </c>
      <c r="G134" s="5">
        <v>10104</v>
      </c>
      <c r="H134" s="3" t="str" cm="1">
        <f t="array" ref="H134">IFERROR(
   INDEX('Campaign Metadata'!A:A,
      MATCH(1,
         (A134&gt;='Campaign Metadata'!B:B)*
         (A134&lt;='Campaign Metadata'!C:C),
      0)
   ),
"Non-Campaign")</f>
        <v>Non-Campaign</v>
      </c>
    </row>
    <row r="135" spans="1:8" ht="15.75" customHeight="1">
      <c r="A135" s="4">
        <v>45754</v>
      </c>
      <c r="B135" s="1" t="s">
        <v>26</v>
      </c>
      <c r="C135" s="5">
        <v>1222</v>
      </c>
      <c r="D135" s="5">
        <v>208</v>
      </c>
      <c r="E135" s="5">
        <v>340098</v>
      </c>
      <c r="F135" s="6">
        <v>7.3399999999999993E-2</v>
      </c>
      <c r="G135" s="5">
        <v>21771</v>
      </c>
      <c r="H135" s="3" t="str" cm="1">
        <f t="array" ref="H135">IFERROR(
   INDEX('Campaign Metadata'!A:A,
      MATCH(1,
         (A135&gt;='Campaign Metadata'!B:B)*
         (A135&lt;='Campaign Metadata'!C:C),
      0)
   ),
"Non-Campaign")</f>
        <v>Non-Campaign</v>
      </c>
    </row>
    <row r="136" spans="1:8" ht="15.75" customHeight="1">
      <c r="A136" s="4">
        <v>45754</v>
      </c>
      <c r="B136" s="1" t="s">
        <v>33</v>
      </c>
      <c r="C136" s="5">
        <v>1071</v>
      </c>
      <c r="D136" s="5">
        <v>131</v>
      </c>
      <c r="E136" s="5">
        <v>254727</v>
      </c>
      <c r="F136" s="6">
        <v>6.8699999999999997E-2</v>
      </c>
      <c r="G136" s="5">
        <v>22191</v>
      </c>
      <c r="H136" s="3" t="str" cm="1">
        <f t="array" ref="H136">IFERROR(
   INDEX('Campaign Metadata'!A:A,
      MATCH(1,
         (A136&gt;='Campaign Metadata'!B:B)*
         (A136&lt;='Campaign Metadata'!C:C),
      0)
   ),
"Non-Campaign")</f>
        <v>Non-Campaign</v>
      </c>
    </row>
    <row r="137" spans="1:8" ht="15.75" customHeight="1">
      <c r="A137" s="4">
        <v>45761</v>
      </c>
      <c r="B137" s="1" t="s">
        <v>15</v>
      </c>
      <c r="C137" s="5">
        <v>772</v>
      </c>
      <c r="D137" s="5">
        <v>82</v>
      </c>
      <c r="E137" s="5">
        <v>345659</v>
      </c>
      <c r="F137" s="6">
        <v>3.5200000000000002E-2</v>
      </c>
      <c r="G137" s="5">
        <v>27753</v>
      </c>
      <c r="H137" s="3" t="str" cm="1">
        <f t="array" ref="H137">IFERROR(
   INDEX('Campaign Metadata'!A:A,
      MATCH(1,
         (A137&gt;='Campaign Metadata'!B:B)*
         (A137&lt;='Campaign Metadata'!C:C),
      0)
   ),
"Non-Campaign")</f>
        <v>Non-Campaign</v>
      </c>
    </row>
    <row r="138" spans="1:8" ht="15.75" customHeight="1">
      <c r="A138" s="4">
        <v>45761</v>
      </c>
      <c r="B138" s="1" t="s">
        <v>26</v>
      </c>
      <c r="C138" s="5">
        <v>1472</v>
      </c>
      <c r="D138" s="5">
        <v>137</v>
      </c>
      <c r="E138" s="5">
        <v>213950</v>
      </c>
      <c r="F138" s="6">
        <v>6.9599999999999995E-2</v>
      </c>
      <c r="G138" s="5">
        <v>23736</v>
      </c>
      <c r="H138" s="3" t="str" cm="1">
        <f t="array" ref="H138">IFERROR(
   INDEX('Campaign Metadata'!A:A,
      MATCH(1,
         (A138&gt;='Campaign Metadata'!B:B)*
         (A138&lt;='Campaign Metadata'!C:C),
      0)
   ),
"Non-Campaign")</f>
        <v>Non-Campaign</v>
      </c>
    </row>
    <row r="139" spans="1:8" ht="15.75" customHeight="1">
      <c r="A139" s="4">
        <v>45761</v>
      </c>
      <c r="B139" s="1" t="s">
        <v>33</v>
      </c>
      <c r="C139" s="5">
        <v>1472</v>
      </c>
      <c r="D139" s="5">
        <v>281</v>
      </c>
      <c r="E139" s="5">
        <v>258115</v>
      </c>
      <c r="F139" s="6">
        <v>7.2300000000000003E-2</v>
      </c>
      <c r="G139" s="5">
        <v>27393</v>
      </c>
      <c r="H139" s="3" t="str" cm="1">
        <f t="array" ref="H139">IFERROR(
   INDEX('Campaign Metadata'!A:A,
      MATCH(1,
         (A139&gt;='Campaign Metadata'!B:B)*
         (A139&lt;='Campaign Metadata'!C:C),
      0)
   ),
"Non-Campaign")</f>
        <v>Non-Campaign</v>
      </c>
    </row>
    <row r="140" spans="1:8" ht="15.75" customHeight="1">
      <c r="A140" s="4">
        <v>45768</v>
      </c>
      <c r="B140" s="1" t="s">
        <v>15</v>
      </c>
      <c r="C140" s="5">
        <v>585</v>
      </c>
      <c r="D140" s="5">
        <v>232</v>
      </c>
      <c r="E140" s="5">
        <v>321258</v>
      </c>
      <c r="F140" s="6">
        <v>7.4200000000000002E-2</v>
      </c>
      <c r="G140" s="5">
        <v>10343</v>
      </c>
      <c r="H140" s="3" t="str" cm="1">
        <f t="array" ref="H140">IFERROR(
   INDEX('Campaign Metadata'!A:A,
      MATCH(1,
         (A140&gt;='Campaign Metadata'!B:B)*
         (A140&lt;='Campaign Metadata'!C:C),
      0)
   ),
"Non-Campaign")</f>
        <v>Non-Campaign</v>
      </c>
    </row>
    <row r="141" spans="1:8" ht="15.75" customHeight="1">
      <c r="A141" s="4">
        <v>45768</v>
      </c>
      <c r="B141" s="1" t="s">
        <v>26</v>
      </c>
      <c r="C141" s="5">
        <v>747</v>
      </c>
      <c r="D141" s="5">
        <v>261</v>
      </c>
      <c r="E141" s="5">
        <v>338650</v>
      </c>
      <c r="F141" s="6">
        <v>7.7300000000000008E-2</v>
      </c>
      <c r="G141" s="5">
        <v>25259</v>
      </c>
      <c r="H141" s="3" t="str" cm="1">
        <f t="array" ref="H141">IFERROR(
   INDEX('Campaign Metadata'!A:A,
      MATCH(1,
         (A141&gt;='Campaign Metadata'!B:B)*
         (A141&lt;='Campaign Metadata'!C:C),
      0)
   ),
"Non-Campaign")</f>
        <v>Non-Campaign</v>
      </c>
    </row>
    <row r="142" spans="1:8" ht="15.75" customHeight="1">
      <c r="A142" s="4">
        <v>45768</v>
      </c>
      <c r="B142" s="1" t="s">
        <v>33</v>
      </c>
      <c r="C142" s="5">
        <v>1113</v>
      </c>
      <c r="D142" s="5">
        <v>224</v>
      </c>
      <c r="E142" s="5">
        <v>272989</v>
      </c>
      <c r="F142" s="6">
        <v>5.1299999999999998E-2</v>
      </c>
      <c r="G142" s="5">
        <v>24827</v>
      </c>
      <c r="H142" s="3" t="str" cm="1">
        <f t="array" ref="H142">IFERROR(
   INDEX('Campaign Metadata'!A:A,
      MATCH(1,
         (A142&gt;='Campaign Metadata'!B:B)*
         (A142&lt;='Campaign Metadata'!C:C),
      0)
   ),
"Non-Campaign")</f>
        <v>Non-Campaign</v>
      </c>
    </row>
    <row r="143" spans="1:8" ht="15.75" customHeight="1">
      <c r="A143" s="4">
        <v>45775</v>
      </c>
      <c r="B143" s="1" t="s">
        <v>15</v>
      </c>
      <c r="C143" s="5">
        <v>1100</v>
      </c>
      <c r="D143" s="5">
        <v>117</v>
      </c>
      <c r="E143" s="5">
        <v>260204</v>
      </c>
      <c r="F143" s="6">
        <v>4.4000000000000004E-2</v>
      </c>
      <c r="G143" s="5">
        <v>11908</v>
      </c>
      <c r="H143" s="3" t="str" cm="1">
        <f t="array" ref="H143">IFERROR(
   INDEX('Campaign Metadata'!A:A,
      MATCH(1,
         (A143&gt;='Campaign Metadata'!B:B)*
         (A143&lt;='Campaign Metadata'!C:C),
      0)
   ),
"Non-Campaign")</f>
        <v>Non-Campaign</v>
      </c>
    </row>
    <row r="144" spans="1:8" ht="15.75" customHeight="1">
      <c r="A144" s="4">
        <v>45775</v>
      </c>
      <c r="B144" s="1" t="s">
        <v>26</v>
      </c>
      <c r="C144" s="5">
        <v>751</v>
      </c>
      <c r="D144" s="5">
        <v>170</v>
      </c>
      <c r="E144" s="5">
        <v>283278</v>
      </c>
      <c r="F144" s="6">
        <v>3.49E-2</v>
      </c>
      <c r="G144" s="5">
        <v>11005</v>
      </c>
      <c r="H144" s="3" t="str" cm="1">
        <f t="array" ref="H144">IFERROR(
   INDEX('Campaign Metadata'!A:A,
      MATCH(1,
         (A144&gt;='Campaign Metadata'!B:B)*
         (A144&lt;='Campaign Metadata'!C:C),
      0)
   ),
"Non-Campaign")</f>
        <v>Non-Campaign</v>
      </c>
    </row>
    <row r="145" spans="1:8" ht="15.75" customHeight="1">
      <c r="A145" s="4">
        <v>45775</v>
      </c>
      <c r="B145" s="1" t="s">
        <v>33</v>
      </c>
      <c r="C145" s="5">
        <v>864</v>
      </c>
      <c r="D145" s="5">
        <v>50</v>
      </c>
      <c r="E145" s="5">
        <v>277445</v>
      </c>
      <c r="F145" s="6">
        <v>3.5699999999999996E-2</v>
      </c>
      <c r="G145" s="5">
        <v>26333</v>
      </c>
      <c r="H145" s="3" t="str" cm="1">
        <f t="array" ref="H145">IFERROR(
   INDEX('Campaign Metadata'!A:A,
      MATCH(1,
         (A145&gt;='Campaign Metadata'!B:B)*
         (A145&lt;='Campaign Metadata'!C:C),
      0)
   ),
"Non-Campaign")</f>
        <v>Non-Campaign</v>
      </c>
    </row>
    <row r="146" spans="1:8" ht="15.75" customHeight="1">
      <c r="A146" s="4">
        <v>45782</v>
      </c>
      <c r="B146" s="1" t="s">
        <v>15</v>
      </c>
      <c r="C146" s="5">
        <v>1146</v>
      </c>
      <c r="D146" s="5">
        <v>227</v>
      </c>
      <c r="E146" s="5">
        <v>353781</v>
      </c>
      <c r="F146" s="6">
        <v>6.4100000000000004E-2</v>
      </c>
      <c r="G146" s="5">
        <v>5495</v>
      </c>
      <c r="H146" s="3" t="str" cm="1">
        <f t="array" ref="H146">IFERROR(
   INDEX('Campaign Metadata'!A:A,
      MATCH(1,
         (A146&gt;='Campaign Metadata'!B:B)*
         (A146&lt;='Campaign Metadata'!C:C),
      0)
   ),
"Non-Campaign")</f>
        <v>Non-Campaign</v>
      </c>
    </row>
    <row r="147" spans="1:8" ht="15.75" customHeight="1">
      <c r="A147" s="4">
        <v>45782</v>
      </c>
      <c r="B147" s="1" t="s">
        <v>26</v>
      </c>
      <c r="C147" s="5">
        <v>883</v>
      </c>
      <c r="D147" s="5">
        <v>207</v>
      </c>
      <c r="E147" s="5">
        <v>265019</v>
      </c>
      <c r="F147" s="6">
        <v>6.0400000000000002E-2</v>
      </c>
      <c r="G147" s="5">
        <v>15655</v>
      </c>
      <c r="H147" s="3" t="str" cm="1">
        <f t="array" ref="H147">IFERROR(
   INDEX('Campaign Metadata'!A:A,
      MATCH(1,
         (A147&gt;='Campaign Metadata'!B:B)*
         (A147&lt;='Campaign Metadata'!C:C),
      0)
   ),
"Non-Campaign")</f>
        <v>Non-Campaign</v>
      </c>
    </row>
    <row r="148" spans="1:8" ht="15.75" customHeight="1">
      <c r="A148" s="4">
        <v>45782</v>
      </c>
      <c r="B148" s="1" t="s">
        <v>33</v>
      </c>
      <c r="C148" s="5">
        <v>622</v>
      </c>
      <c r="D148" s="5">
        <v>163</v>
      </c>
      <c r="E148" s="5">
        <v>231925</v>
      </c>
      <c r="F148" s="6">
        <v>9.1799999999999993E-2</v>
      </c>
      <c r="G148" s="5">
        <v>13763</v>
      </c>
      <c r="H148" s="3" t="str" cm="1">
        <f t="array" ref="H148">IFERROR(
   INDEX('Campaign Metadata'!A:A,
      MATCH(1,
         (A148&gt;='Campaign Metadata'!B:B)*
         (A148&lt;='Campaign Metadata'!C:C),
      0)
   ),
"Non-Campaign")</f>
        <v>Non-Campaign</v>
      </c>
    </row>
    <row r="149" spans="1:8" ht="15.75" customHeight="1">
      <c r="A149" s="4">
        <v>45789</v>
      </c>
      <c r="B149" s="1" t="s">
        <v>15</v>
      </c>
      <c r="C149" s="5">
        <v>837</v>
      </c>
      <c r="D149" s="5">
        <v>261</v>
      </c>
      <c r="E149" s="5">
        <v>366149</v>
      </c>
      <c r="F149" s="6">
        <v>6.54E-2</v>
      </c>
      <c r="G149" s="5">
        <v>26073</v>
      </c>
      <c r="H149" s="3" t="str" cm="1">
        <f t="array" ref="H149">IFERROR(
   INDEX('Campaign Metadata'!A:A,
      MATCH(1,
         (A149&gt;='Campaign Metadata'!B:B)*
         (A149&lt;='Campaign Metadata'!C:C),
      0)
   ),
"Non-Campaign")</f>
        <v>Non-Campaign</v>
      </c>
    </row>
    <row r="150" spans="1:8" ht="15.75" customHeight="1">
      <c r="A150" s="4">
        <v>45789</v>
      </c>
      <c r="B150" s="1" t="s">
        <v>26</v>
      </c>
      <c r="C150" s="5">
        <v>544</v>
      </c>
      <c r="D150" s="5">
        <v>97</v>
      </c>
      <c r="E150" s="5">
        <v>168375</v>
      </c>
      <c r="F150" s="6">
        <v>8.6599999999999996E-2</v>
      </c>
      <c r="G150" s="5">
        <v>12774</v>
      </c>
      <c r="H150" s="3" t="str" cm="1">
        <f t="array" ref="H150">IFERROR(
   INDEX('Campaign Metadata'!A:A,
      MATCH(1,
         (A150&gt;='Campaign Metadata'!B:B)*
         (A150&lt;='Campaign Metadata'!C:C),
      0)
   ),
"Non-Campaign")</f>
        <v>Non-Campaign</v>
      </c>
    </row>
    <row r="151" spans="1:8" ht="15.75" customHeight="1">
      <c r="A151" s="4">
        <v>45789</v>
      </c>
      <c r="B151" s="1" t="s">
        <v>33</v>
      </c>
      <c r="C151" s="5">
        <v>624</v>
      </c>
      <c r="D151" s="5">
        <v>247</v>
      </c>
      <c r="E151" s="5">
        <v>252763</v>
      </c>
      <c r="F151" s="6">
        <v>3.8900000000000004E-2</v>
      </c>
      <c r="G151" s="5">
        <v>19000</v>
      </c>
      <c r="H151" s="3" t="str" cm="1">
        <f t="array" ref="H151">IFERROR(
   INDEX('Campaign Metadata'!A:A,
      MATCH(1,
         (A151&gt;='Campaign Metadata'!B:B)*
         (A151&lt;='Campaign Metadata'!C:C),
      0)
   ),
"Non-Campaign")</f>
        <v>Non-Campaign</v>
      </c>
    </row>
    <row r="152" spans="1:8" ht="15.75" customHeight="1">
      <c r="A152" s="4">
        <v>45796</v>
      </c>
      <c r="B152" s="1" t="s">
        <v>15</v>
      </c>
      <c r="C152" s="5">
        <v>1073</v>
      </c>
      <c r="D152" s="5">
        <v>141</v>
      </c>
      <c r="E152" s="5">
        <v>118393</v>
      </c>
      <c r="F152" s="6">
        <v>7.9500000000000001E-2</v>
      </c>
      <c r="G152" s="5">
        <v>14051</v>
      </c>
      <c r="H152" s="3" t="str" cm="1">
        <f t="array" ref="H152">IFERROR(
   INDEX('Campaign Metadata'!A:A,
      MATCH(1,
         (A152&gt;='Campaign Metadata'!B:B)*
         (A152&lt;='Campaign Metadata'!C:C),
      0)
   ),
"Non-Campaign")</f>
        <v>Non-Campaign</v>
      </c>
    </row>
    <row r="153" spans="1:8" ht="15.75" customHeight="1">
      <c r="A153" s="4">
        <v>45796</v>
      </c>
      <c r="B153" s="1" t="s">
        <v>26</v>
      </c>
      <c r="C153" s="5">
        <v>1430</v>
      </c>
      <c r="D153" s="5">
        <v>74</v>
      </c>
      <c r="E153" s="5">
        <v>327012</v>
      </c>
      <c r="F153" s="6">
        <v>6.6600000000000006E-2</v>
      </c>
      <c r="G153" s="5">
        <v>27782</v>
      </c>
      <c r="H153" s="3" t="str" cm="1">
        <f t="array" ref="H153">IFERROR(
   INDEX('Campaign Metadata'!A:A,
      MATCH(1,
         (A153&gt;='Campaign Metadata'!B:B)*
         (A153&lt;='Campaign Metadata'!C:C),
      0)
   ),
"Non-Campaign")</f>
        <v>Non-Campaign</v>
      </c>
    </row>
    <row r="154" spans="1:8" ht="15.75" customHeight="1">
      <c r="A154" s="4">
        <v>45796</v>
      </c>
      <c r="B154" s="1" t="s">
        <v>33</v>
      </c>
      <c r="C154" s="5">
        <v>1358</v>
      </c>
      <c r="D154" s="5">
        <v>77</v>
      </c>
      <c r="E154" s="5">
        <v>169688</v>
      </c>
      <c r="F154" s="6">
        <v>5.2499999999999998E-2</v>
      </c>
      <c r="G154" s="5">
        <v>7859</v>
      </c>
      <c r="H154" s="3" t="str" cm="1">
        <f t="array" ref="H154">IFERROR(
   INDEX('Campaign Metadata'!A:A,
      MATCH(1,
         (A154&gt;='Campaign Metadata'!B:B)*
         (A154&lt;='Campaign Metadata'!C:C),
      0)
   ),
"Non-Campaign")</f>
        <v>Non-Campaign</v>
      </c>
    </row>
    <row r="155" spans="1:8" ht="15.75" customHeight="1">
      <c r="A155" s="4">
        <v>45803</v>
      </c>
      <c r="B155" s="1" t="s">
        <v>15</v>
      </c>
      <c r="C155" s="5">
        <v>1242</v>
      </c>
      <c r="D155" s="5">
        <v>201</v>
      </c>
      <c r="E155" s="5">
        <v>271935</v>
      </c>
      <c r="F155" s="6">
        <v>5.0700000000000002E-2</v>
      </c>
      <c r="G155" s="5">
        <v>15773</v>
      </c>
      <c r="H155" s="3" t="str" cm="1">
        <f t="array" ref="H155">IFERROR(
   INDEX('Campaign Metadata'!A:A,
      MATCH(1,
         (A155&gt;='Campaign Metadata'!B:B)*
         (A155&lt;='Campaign Metadata'!C:C),
      0)
   ),
"Non-Campaign")</f>
        <v>Non-Campaign</v>
      </c>
    </row>
    <row r="156" spans="1:8" ht="15.75" customHeight="1">
      <c r="A156" s="4">
        <v>45803</v>
      </c>
      <c r="B156" s="1" t="s">
        <v>26</v>
      </c>
      <c r="C156" s="5">
        <v>1389</v>
      </c>
      <c r="D156" s="5">
        <v>205</v>
      </c>
      <c r="E156" s="5">
        <v>315981</v>
      </c>
      <c r="F156" s="6">
        <v>7.6200000000000004E-2</v>
      </c>
      <c r="G156" s="5">
        <v>20595</v>
      </c>
      <c r="H156" s="3" t="str" cm="1">
        <f t="array" ref="H156">IFERROR(
   INDEX('Campaign Metadata'!A:A,
      MATCH(1,
         (A156&gt;='Campaign Metadata'!B:B)*
         (A156&lt;='Campaign Metadata'!C:C),
      0)
   ),
"Non-Campaign")</f>
        <v>Non-Campaign</v>
      </c>
    </row>
    <row r="157" spans="1:8" ht="15.75" customHeight="1">
      <c r="A157" s="4">
        <v>45803</v>
      </c>
      <c r="B157" s="1" t="s">
        <v>33</v>
      </c>
      <c r="C157" s="5">
        <v>826</v>
      </c>
      <c r="D157" s="5">
        <v>142</v>
      </c>
      <c r="E157" s="5">
        <v>341016</v>
      </c>
      <c r="F157" s="6">
        <v>7.4400000000000008E-2</v>
      </c>
      <c r="G157" s="5">
        <v>12031</v>
      </c>
      <c r="H157" s="3" t="str" cm="1">
        <f t="array" ref="H157">IFERROR(
   INDEX('Campaign Metadata'!A:A,
      MATCH(1,
         (A157&gt;='Campaign Metadata'!B:B)*
         (A157&lt;='Campaign Metadata'!C:C),
      0)
   ),
"Non-Campaign")</f>
        <v>Non-Campaign</v>
      </c>
    </row>
    <row r="158" spans="1:8" ht="15.75" customHeight="1">
      <c r="A158" s="4">
        <v>45810</v>
      </c>
      <c r="B158" s="1" t="s">
        <v>15</v>
      </c>
      <c r="C158" s="5">
        <v>618</v>
      </c>
      <c r="D158" s="5">
        <v>264</v>
      </c>
      <c r="E158" s="5">
        <v>285164</v>
      </c>
      <c r="F158" s="6">
        <v>4.8600000000000004E-2</v>
      </c>
      <c r="G158" s="5">
        <v>15128</v>
      </c>
      <c r="H158" s="3" t="str" cm="1">
        <f t="array" ref="H158">IFERROR(
   INDEX('Campaign Metadata'!A:A,
      MATCH(1,
         (A158&gt;='Campaign Metadata'!B:B)*
         (A158&lt;='Campaign Metadata'!C:C),
      0)
   ),
"Non-Campaign")</f>
        <v>Non-Campaign</v>
      </c>
    </row>
    <row r="159" spans="1:8" ht="15.75" customHeight="1">
      <c r="A159" s="4">
        <v>45810</v>
      </c>
      <c r="B159" s="1" t="s">
        <v>26</v>
      </c>
      <c r="C159" s="5">
        <v>1419</v>
      </c>
      <c r="D159" s="5">
        <v>293</v>
      </c>
      <c r="E159" s="5">
        <v>116632</v>
      </c>
      <c r="F159" s="6">
        <v>6.93E-2</v>
      </c>
      <c r="G159" s="5">
        <v>11826</v>
      </c>
      <c r="H159" s="3" t="str" cm="1">
        <f t="array" ref="H159">IFERROR(
   INDEX('Campaign Metadata'!A:A,
      MATCH(1,
         (A159&gt;='Campaign Metadata'!B:B)*
         (A159&lt;='Campaign Metadata'!C:C),
      0)
   ),
"Non-Campaign")</f>
        <v>Non-Campaign</v>
      </c>
    </row>
    <row r="160" spans="1:8" ht="15.75" customHeight="1">
      <c r="A160" s="4">
        <v>45810</v>
      </c>
      <c r="B160" s="1" t="s">
        <v>33</v>
      </c>
      <c r="C160" s="5">
        <v>637</v>
      </c>
      <c r="D160" s="5">
        <v>68</v>
      </c>
      <c r="E160" s="5">
        <v>115694</v>
      </c>
      <c r="F160" s="6">
        <v>9.9900000000000003E-2</v>
      </c>
      <c r="G160" s="5">
        <v>12562</v>
      </c>
      <c r="H160" s="3" t="str" cm="1">
        <f t="array" ref="H160">IFERROR(
   INDEX('Campaign Metadata'!A:A,
      MATCH(1,
         (A160&gt;='Campaign Metadata'!B:B)*
         (A160&lt;='Campaign Metadata'!C:C),
      0)
   ),
"Non-Campaign")</f>
        <v>Non-Campaign</v>
      </c>
    </row>
    <row r="161" spans="1:8" ht="15.75" customHeight="1">
      <c r="A161" s="4">
        <v>45817</v>
      </c>
      <c r="B161" s="1" t="s">
        <v>15</v>
      </c>
      <c r="C161" s="5">
        <v>917</v>
      </c>
      <c r="D161" s="5">
        <v>187</v>
      </c>
      <c r="E161" s="5">
        <v>64444</v>
      </c>
      <c r="F161" s="6">
        <v>5.2199999999999996E-2</v>
      </c>
      <c r="G161" s="5">
        <v>13013</v>
      </c>
      <c r="H161" s="3" t="str" cm="1">
        <f t="array" ref="H161">IFERROR(
   INDEX('Campaign Metadata'!A:A,
      MATCH(1,
         (A161&gt;='Campaign Metadata'!B:B)*
         (A161&lt;='Campaign Metadata'!C:C),
      0)
   ),
"Non-Campaign")</f>
        <v>Non-Campaign</v>
      </c>
    </row>
    <row r="162" spans="1:8" ht="15.75" customHeight="1">
      <c r="A162" s="4">
        <v>45817</v>
      </c>
      <c r="B162" s="1" t="s">
        <v>26</v>
      </c>
      <c r="C162" s="5">
        <v>810</v>
      </c>
      <c r="D162" s="5">
        <v>232</v>
      </c>
      <c r="E162" s="5">
        <v>362559</v>
      </c>
      <c r="F162" s="6">
        <v>5.1699999999999996E-2</v>
      </c>
      <c r="G162" s="5">
        <v>12937</v>
      </c>
      <c r="H162" s="3" t="str" cm="1">
        <f t="array" ref="H162">IFERROR(
   INDEX('Campaign Metadata'!A:A,
      MATCH(1,
         (A162&gt;='Campaign Metadata'!B:B)*
         (A162&lt;='Campaign Metadata'!C:C),
      0)
   ),
"Non-Campaign")</f>
        <v>Non-Campaign</v>
      </c>
    </row>
    <row r="163" spans="1:8" ht="15.75" customHeight="1">
      <c r="A163" s="4">
        <v>45817</v>
      </c>
      <c r="B163" s="1" t="s">
        <v>33</v>
      </c>
      <c r="C163" s="5">
        <v>1183</v>
      </c>
      <c r="D163" s="5">
        <v>248</v>
      </c>
      <c r="E163" s="5">
        <v>226881</v>
      </c>
      <c r="F163" s="6">
        <v>5.1699999999999996E-2</v>
      </c>
      <c r="G163" s="5">
        <v>14534</v>
      </c>
      <c r="H163" s="3" t="str" cm="1">
        <f t="array" ref="H163">IFERROR(
   INDEX('Campaign Metadata'!A:A,
      MATCH(1,
         (A163&gt;='Campaign Metadata'!B:B)*
         (A163&lt;='Campaign Metadata'!C:C),
      0)
   ),
"Non-Campaign")</f>
        <v>Non-Campaign</v>
      </c>
    </row>
    <row r="164" spans="1:8" ht="15.75" customHeight="1">
      <c r="A164" s="4">
        <v>45824</v>
      </c>
      <c r="B164" s="1" t="s">
        <v>15</v>
      </c>
      <c r="C164" s="5">
        <v>765</v>
      </c>
      <c r="D164" s="5">
        <v>67</v>
      </c>
      <c r="E164" s="5">
        <v>283537</v>
      </c>
      <c r="F164" s="6">
        <v>6.1799999999999994E-2</v>
      </c>
      <c r="G164" s="5">
        <v>8182</v>
      </c>
      <c r="H164" s="3" t="str" cm="1">
        <f t="array" ref="H164">IFERROR(
   INDEX('Campaign Metadata'!A:A,
      MATCH(1,
         (A164&gt;='Campaign Metadata'!B:B)*
         (A164&lt;='Campaign Metadata'!C:C),
      0)
   ),
"Non-Campaign")</f>
        <v>Non-Campaign</v>
      </c>
    </row>
    <row r="165" spans="1:8" ht="15.75" customHeight="1">
      <c r="A165" s="4">
        <v>45824</v>
      </c>
      <c r="B165" s="1" t="s">
        <v>26</v>
      </c>
      <c r="C165" s="5">
        <v>540</v>
      </c>
      <c r="D165" s="5">
        <v>215</v>
      </c>
      <c r="E165" s="5">
        <v>62837</v>
      </c>
      <c r="F165" s="6">
        <v>5.2999999999999999E-2</v>
      </c>
      <c r="G165" s="5">
        <v>10615</v>
      </c>
      <c r="H165" s="3" t="str" cm="1">
        <f t="array" ref="H165">IFERROR(
   INDEX('Campaign Metadata'!A:A,
      MATCH(1,
         (A165&gt;='Campaign Metadata'!B:B)*
         (A165&lt;='Campaign Metadata'!C:C),
      0)
   ),
"Non-Campaign")</f>
        <v>Non-Campaign</v>
      </c>
    </row>
    <row r="166" spans="1:8" ht="15.75" customHeight="1">
      <c r="A166" s="4">
        <v>45824</v>
      </c>
      <c r="B166" s="1" t="s">
        <v>33</v>
      </c>
      <c r="C166" s="5">
        <v>1145</v>
      </c>
      <c r="D166" s="5">
        <v>151</v>
      </c>
      <c r="E166" s="5">
        <v>182759</v>
      </c>
      <c r="F166" s="6">
        <v>5.9900000000000002E-2</v>
      </c>
      <c r="G166" s="5">
        <v>20109</v>
      </c>
      <c r="H166" s="3" t="str" cm="1">
        <f t="array" ref="H166">IFERROR(
   INDEX('Campaign Metadata'!A:A,
      MATCH(1,
         (A166&gt;='Campaign Metadata'!B:B)*
         (A166&lt;='Campaign Metadata'!C:C),
      0)
   ),
"Non-Campaign")</f>
        <v>Non-Campaign</v>
      </c>
    </row>
    <row r="167" spans="1:8" ht="15.75" customHeight="1">
      <c r="A167" s="4">
        <v>45831</v>
      </c>
      <c r="B167" s="1" t="s">
        <v>15</v>
      </c>
      <c r="C167" s="5">
        <v>564</v>
      </c>
      <c r="D167" s="5">
        <v>244</v>
      </c>
      <c r="E167" s="5">
        <v>279405</v>
      </c>
      <c r="F167" s="6">
        <v>8.43E-2</v>
      </c>
      <c r="G167" s="5">
        <v>26024</v>
      </c>
      <c r="H167" s="3" t="str" cm="1">
        <f t="array" ref="H167">IFERROR(
   INDEX('Campaign Metadata'!A:A,
      MATCH(1,
         (A167&gt;='Campaign Metadata'!B:B)*
         (A167&lt;='Campaign Metadata'!C:C),
      0)
   ),
"Non-Campaign")</f>
        <v>Non-Campaign</v>
      </c>
    </row>
    <row r="168" spans="1:8" ht="15.75" customHeight="1">
      <c r="A168" s="4">
        <v>45831</v>
      </c>
      <c r="B168" s="1" t="s">
        <v>26</v>
      </c>
      <c r="C168" s="5">
        <v>668</v>
      </c>
      <c r="D168" s="5">
        <v>124</v>
      </c>
      <c r="E168" s="5">
        <v>257485</v>
      </c>
      <c r="F168" s="6">
        <v>7.5499999999999998E-2</v>
      </c>
      <c r="G168" s="5">
        <v>26730</v>
      </c>
      <c r="H168" s="3" t="str" cm="1">
        <f t="array" ref="H168">IFERROR(
   INDEX('Campaign Metadata'!A:A,
      MATCH(1,
         (A168&gt;='Campaign Metadata'!B:B)*
         (A168&lt;='Campaign Metadata'!C:C),
      0)
   ),
"Non-Campaign")</f>
        <v>Non-Campaign</v>
      </c>
    </row>
    <row r="169" spans="1:8" ht="15.75" customHeight="1">
      <c r="A169" s="4">
        <v>45831</v>
      </c>
      <c r="B169" s="1" t="s">
        <v>33</v>
      </c>
      <c r="C169" s="5">
        <v>761</v>
      </c>
      <c r="D169" s="5">
        <v>241</v>
      </c>
      <c r="E169" s="5">
        <v>154977</v>
      </c>
      <c r="F169" s="6">
        <v>5.6299999999999996E-2</v>
      </c>
      <c r="G169" s="5">
        <v>10563</v>
      </c>
      <c r="H169" s="3" t="str" cm="1">
        <f t="array" ref="H169">IFERROR(
   INDEX('Campaign Metadata'!A:A,
      MATCH(1,
         (A169&gt;='Campaign Metadata'!B:B)*
         (A169&lt;='Campaign Metadata'!C:C),
      0)
   ),
"Non-Campaign")</f>
        <v>Non-Campaign</v>
      </c>
    </row>
    <row r="170" spans="1:8" ht="15.75" customHeight="1">
      <c r="A170" s="4">
        <v>45838</v>
      </c>
      <c r="B170" s="1" t="s">
        <v>15</v>
      </c>
      <c r="C170" s="5">
        <v>593</v>
      </c>
      <c r="D170" s="5">
        <v>108</v>
      </c>
      <c r="E170" s="5">
        <v>216500</v>
      </c>
      <c r="F170" s="6">
        <v>4.7100000000000003E-2</v>
      </c>
      <c r="G170" s="5">
        <v>27575</v>
      </c>
      <c r="H170" s="3" t="str" cm="1">
        <f t="array" ref="H170">IFERROR(
   INDEX('Campaign Metadata'!A:A,
      MATCH(1,
         (A170&gt;='Campaign Metadata'!B:B)*
         (A170&lt;='Campaign Metadata'!C:C),
      0)
   ),
"Non-Campaign")</f>
        <v>Non-Campaign</v>
      </c>
    </row>
    <row r="171" spans="1:8" ht="15.75" customHeight="1">
      <c r="A171" s="4">
        <v>45838</v>
      </c>
      <c r="B171" s="1" t="s">
        <v>26</v>
      </c>
      <c r="C171" s="5">
        <v>1349</v>
      </c>
      <c r="D171" s="5">
        <v>115</v>
      </c>
      <c r="E171" s="5">
        <v>102102</v>
      </c>
      <c r="F171" s="6">
        <v>5.28E-2</v>
      </c>
      <c r="G171" s="5">
        <v>14479</v>
      </c>
      <c r="H171" s="3" t="str" cm="1">
        <f t="array" ref="H171">IFERROR(
   INDEX('Campaign Metadata'!A:A,
      MATCH(1,
         (A171&gt;='Campaign Metadata'!B:B)*
         (A171&lt;='Campaign Metadata'!C:C),
      0)
   ),
"Non-Campaign")</f>
        <v>Non-Campaign</v>
      </c>
    </row>
    <row r="172" spans="1:8" ht="15.75" customHeight="1">
      <c r="A172" s="4">
        <v>45838</v>
      </c>
      <c r="B172" s="1" t="s">
        <v>33</v>
      </c>
      <c r="C172" s="5">
        <v>693</v>
      </c>
      <c r="D172" s="5">
        <v>97</v>
      </c>
      <c r="E172" s="5">
        <v>92025</v>
      </c>
      <c r="F172" s="6">
        <v>5.9500000000000004E-2</v>
      </c>
      <c r="G172" s="5">
        <v>15915</v>
      </c>
      <c r="H172" s="3" t="str" cm="1">
        <f t="array" ref="H172">IFERROR(
   INDEX('Campaign Metadata'!A:A,
      MATCH(1,
         (A172&gt;='Campaign Metadata'!B:B)*
         (A172&lt;='Campaign Metadata'!C:C),
      0)
   ),
"Non-Campaign")</f>
        <v>Non-Campaign</v>
      </c>
    </row>
    <row r="173" spans="1:8" ht="15.75" customHeight="1">
      <c r="A173" s="4">
        <v>45845</v>
      </c>
      <c r="B173" s="1" t="s">
        <v>15</v>
      </c>
      <c r="C173" s="5">
        <v>974</v>
      </c>
      <c r="D173" s="5">
        <v>143</v>
      </c>
      <c r="E173" s="5">
        <v>247965</v>
      </c>
      <c r="F173" s="6">
        <v>9.98E-2</v>
      </c>
      <c r="G173" s="5">
        <v>12767</v>
      </c>
      <c r="H173" s="3" t="str" cm="1">
        <f t="array" ref="H173">IFERROR(
   INDEX('Campaign Metadata'!A:A,
      MATCH(1,
         (A173&gt;='Campaign Metadata'!B:B)*
         (A173&lt;='Campaign Metadata'!C:C),
      0)
   ),
"Non-Campaign")</f>
        <v>Non-Campaign</v>
      </c>
    </row>
    <row r="174" spans="1:8" ht="15.75" customHeight="1">
      <c r="A174" s="4">
        <v>45845</v>
      </c>
      <c r="B174" s="1" t="s">
        <v>26</v>
      </c>
      <c r="C174" s="5">
        <v>1155</v>
      </c>
      <c r="D174" s="5">
        <v>122</v>
      </c>
      <c r="E174" s="5">
        <v>387352</v>
      </c>
      <c r="F174" s="6">
        <v>9.9299999999999999E-2</v>
      </c>
      <c r="G174" s="5">
        <v>12170</v>
      </c>
      <c r="H174" s="3" t="str" cm="1">
        <f t="array" ref="H174">IFERROR(
   INDEX('Campaign Metadata'!A:A,
      MATCH(1,
         (A174&gt;='Campaign Metadata'!B:B)*
         (A174&lt;='Campaign Metadata'!C:C),
      0)
   ),
"Non-Campaign")</f>
        <v>Non-Campaign</v>
      </c>
    </row>
    <row r="175" spans="1:8" ht="15.75" customHeight="1">
      <c r="A175" s="4">
        <v>45845</v>
      </c>
      <c r="B175" s="1" t="s">
        <v>33</v>
      </c>
      <c r="C175" s="5">
        <v>1051</v>
      </c>
      <c r="D175" s="5">
        <v>246</v>
      </c>
      <c r="E175" s="5">
        <v>253985</v>
      </c>
      <c r="F175" s="6">
        <v>9.0800000000000006E-2</v>
      </c>
      <c r="G175" s="5">
        <v>7245</v>
      </c>
      <c r="H175" s="3" t="str" cm="1">
        <f t="array" ref="H175">IFERROR(
   INDEX('Campaign Metadata'!A:A,
      MATCH(1,
         (A175&gt;='Campaign Metadata'!B:B)*
         (A175&lt;='Campaign Metadata'!C:C),
      0)
   ),
"Non-Campaign")</f>
        <v>Non-Campaign</v>
      </c>
    </row>
    <row r="176" spans="1:8" ht="15.75" customHeight="1">
      <c r="A176" s="4">
        <v>45852</v>
      </c>
      <c r="B176" s="1" t="s">
        <v>15</v>
      </c>
      <c r="C176" s="5">
        <v>1457</v>
      </c>
      <c r="D176" s="5">
        <v>183</v>
      </c>
      <c r="E176" s="5">
        <v>129640</v>
      </c>
      <c r="F176" s="6">
        <v>7.980000000000001E-2</v>
      </c>
      <c r="G176" s="5">
        <v>12985</v>
      </c>
      <c r="H176" s="3" t="str" cm="1">
        <f t="array" ref="H176">IFERROR(
   INDEX('Campaign Metadata'!A:A,
      MATCH(1,
         (A176&gt;='Campaign Metadata'!B:B)*
         (A176&lt;='Campaign Metadata'!C:C),
      0)
   ),
"Non-Campaign")</f>
        <v>Non-Campaign</v>
      </c>
    </row>
    <row r="177" spans="1:8" ht="15.75" customHeight="1">
      <c r="A177" s="4">
        <v>45852</v>
      </c>
      <c r="B177" s="1" t="s">
        <v>26</v>
      </c>
      <c r="C177" s="5">
        <v>670</v>
      </c>
      <c r="D177" s="5">
        <v>242</v>
      </c>
      <c r="E177" s="5">
        <v>281913</v>
      </c>
      <c r="F177" s="6">
        <v>9.6199999999999994E-2</v>
      </c>
      <c r="G177" s="5">
        <v>16377</v>
      </c>
      <c r="H177" s="3" t="str" cm="1">
        <f t="array" ref="H177">IFERROR(
   INDEX('Campaign Metadata'!A:A,
      MATCH(1,
         (A177&gt;='Campaign Metadata'!B:B)*
         (A177&lt;='Campaign Metadata'!C:C),
      0)
   ),
"Non-Campaign")</f>
        <v>Non-Campaign</v>
      </c>
    </row>
    <row r="178" spans="1:8" ht="15.75" customHeight="1">
      <c r="A178" s="4">
        <v>45852</v>
      </c>
      <c r="B178" s="1" t="s">
        <v>33</v>
      </c>
      <c r="C178" s="5">
        <v>1111</v>
      </c>
      <c r="D178" s="5">
        <v>159</v>
      </c>
      <c r="E178" s="5">
        <v>360770</v>
      </c>
      <c r="F178" s="6">
        <v>8.7100000000000011E-2</v>
      </c>
      <c r="G178" s="5">
        <v>11453</v>
      </c>
      <c r="H178" s="3" t="str" cm="1">
        <f t="array" ref="H178">IFERROR(
   INDEX('Campaign Metadata'!A:A,
      MATCH(1,
         (A178&gt;='Campaign Metadata'!B:B)*
         (A178&lt;='Campaign Metadata'!C:C),
      0)
   ),
"Non-Campaign")</f>
        <v>Non-Campaign</v>
      </c>
    </row>
    <row r="179" spans="1:8" ht="15.75" customHeight="1">
      <c r="A179" s="4">
        <v>45859</v>
      </c>
      <c r="B179" s="1" t="s">
        <v>15</v>
      </c>
      <c r="C179" s="5">
        <v>1197</v>
      </c>
      <c r="D179" s="5">
        <v>246</v>
      </c>
      <c r="E179" s="5">
        <v>127273</v>
      </c>
      <c r="F179" s="6">
        <v>6.6900000000000001E-2</v>
      </c>
      <c r="G179" s="5">
        <v>12323</v>
      </c>
      <c r="H179" s="3" t="str" cm="1">
        <f t="array" ref="H179">IFERROR(
   INDEX('Campaign Metadata'!A:A,
      MATCH(1,
         (A179&gt;='Campaign Metadata'!B:B)*
         (A179&lt;='Campaign Metadata'!C:C),
      0)
   ),
"Non-Campaign")</f>
        <v>Non-Campaign</v>
      </c>
    </row>
    <row r="180" spans="1:8" ht="15.75" customHeight="1">
      <c r="A180" s="4">
        <v>45859</v>
      </c>
      <c r="B180" s="1" t="s">
        <v>26</v>
      </c>
      <c r="C180" s="5">
        <v>754</v>
      </c>
      <c r="D180" s="5">
        <v>150</v>
      </c>
      <c r="E180" s="5">
        <v>189622</v>
      </c>
      <c r="F180" s="6">
        <v>4.2500000000000003E-2</v>
      </c>
      <c r="G180" s="5">
        <v>11911</v>
      </c>
      <c r="H180" s="3" t="str" cm="1">
        <f t="array" ref="H180">IFERROR(
   INDEX('Campaign Metadata'!A:A,
      MATCH(1,
         (A180&gt;='Campaign Metadata'!B:B)*
         (A180&lt;='Campaign Metadata'!C:C),
      0)
   ),
"Non-Campaign")</f>
        <v>Non-Campaign</v>
      </c>
    </row>
    <row r="181" spans="1:8" ht="15.75" customHeight="1">
      <c r="A181" s="4">
        <v>45859</v>
      </c>
      <c r="B181" s="1" t="s">
        <v>33</v>
      </c>
      <c r="C181" s="5">
        <v>1246</v>
      </c>
      <c r="D181" s="5">
        <v>107</v>
      </c>
      <c r="E181" s="5">
        <v>350949</v>
      </c>
      <c r="F181" s="6">
        <v>4.9800000000000004E-2</v>
      </c>
      <c r="G181" s="5">
        <v>27809</v>
      </c>
      <c r="H181" s="3" t="str" cm="1">
        <f t="array" ref="H181">IFERROR(
   INDEX('Campaign Metadata'!A:A,
      MATCH(1,
         (A181&gt;='Campaign Metadata'!B:B)*
         (A181&lt;='Campaign Metadata'!C:C),
      0)
   ),
"Non-Campaign")</f>
        <v>Non-Campaign</v>
      </c>
    </row>
    <row r="182" spans="1:8" ht="15.75" customHeight="1">
      <c r="A182" s="4">
        <v>45866</v>
      </c>
      <c r="B182" s="1" t="s">
        <v>15</v>
      </c>
      <c r="C182" s="5">
        <v>780</v>
      </c>
      <c r="D182" s="5">
        <v>213</v>
      </c>
      <c r="E182" s="5">
        <v>121431</v>
      </c>
      <c r="F182" s="6">
        <v>4.9699999999999994E-2</v>
      </c>
      <c r="G182" s="5">
        <v>21464</v>
      </c>
      <c r="H182" s="3" t="str" cm="1">
        <f t="array" ref="H182">IFERROR(
   INDEX('Campaign Metadata'!A:A,
      MATCH(1,
         (A182&gt;='Campaign Metadata'!B:B)*
         (A182&lt;='Campaign Metadata'!C:C),
      0)
   ),
"Non-Campaign")</f>
        <v>Non-Campaign</v>
      </c>
    </row>
    <row r="183" spans="1:8" ht="15.75" customHeight="1">
      <c r="A183" s="4">
        <v>45866</v>
      </c>
      <c r="B183" s="1" t="s">
        <v>26</v>
      </c>
      <c r="C183" s="5">
        <v>1425</v>
      </c>
      <c r="D183" s="5">
        <v>143</v>
      </c>
      <c r="E183" s="5">
        <v>116742</v>
      </c>
      <c r="F183" s="6">
        <v>3.7100000000000001E-2</v>
      </c>
      <c r="G183" s="5">
        <v>27126</v>
      </c>
      <c r="H183" s="3" t="str" cm="1">
        <f t="array" ref="H183">IFERROR(
   INDEX('Campaign Metadata'!A:A,
      MATCH(1,
         (A183&gt;='Campaign Metadata'!B:B)*
         (A183&lt;='Campaign Metadata'!C:C),
      0)
   ),
"Non-Campaign")</f>
        <v>Non-Campaign</v>
      </c>
    </row>
    <row r="184" spans="1:8" ht="15.75" customHeight="1">
      <c r="A184" s="4">
        <v>45866</v>
      </c>
      <c r="B184" s="1" t="s">
        <v>33</v>
      </c>
      <c r="C184" s="5">
        <v>1490</v>
      </c>
      <c r="D184" s="5">
        <v>103</v>
      </c>
      <c r="E184" s="5">
        <v>81184</v>
      </c>
      <c r="F184" s="6">
        <v>7.7899999999999997E-2</v>
      </c>
      <c r="G184" s="5">
        <v>10681</v>
      </c>
      <c r="H184" s="3" t="str" cm="1">
        <f t="array" ref="H184">IFERROR(
   INDEX('Campaign Metadata'!A:A,
      MATCH(1,
         (A184&gt;='Campaign Metadata'!B:B)*
         (A184&lt;='Campaign Metadata'!C:C),
      0)
   ),
"Non-Campaign")</f>
        <v>Non-Campaign</v>
      </c>
    </row>
    <row r="185" spans="1:8" ht="15.75" customHeight="1">
      <c r="A185" s="4">
        <v>45873</v>
      </c>
      <c r="B185" s="1" t="s">
        <v>15</v>
      </c>
      <c r="C185" s="5">
        <v>949</v>
      </c>
      <c r="D185" s="5">
        <v>282</v>
      </c>
      <c r="E185" s="5">
        <v>87126</v>
      </c>
      <c r="F185" s="6">
        <v>4.9599999999999998E-2</v>
      </c>
      <c r="G185" s="5">
        <v>5413</v>
      </c>
      <c r="H185" s="3" t="str" cm="1">
        <f t="array" ref="H185">IFERROR(
   INDEX('Campaign Metadata'!A:A,
      MATCH(1,
         (A185&gt;='Campaign Metadata'!B:B)*
         (A185&lt;='Campaign Metadata'!C:C),
      0)
   ),
"Non-Campaign")</f>
        <v>Non-Campaign</v>
      </c>
    </row>
    <row r="186" spans="1:8" ht="15.75" customHeight="1">
      <c r="A186" s="4">
        <v>45873</v>
      </c>
      <c r="B186" s="1" t="s">
        <v>26</v>
      </c>
      <c r="C186" s="5">
        <v>640</v>
      </c>
      <c r="D186" s="5">
        <v>141</v>
      </c>
      <c r="E186" s="5">
        <v>267546</v>
      </c>
      <c r="F186" s="6">
        <v>8.5800000000000001E-2</v>
      </c>
      <c r="G186" s="5">
        <v>25058</v>
      </c>
      <c r="H186" s="3" t="str" cm="1">
        <f t="array" ref="H186">IFERROR(
   INDEX('Campaign Metadata'!A:A,
      MATCH(1,
         (A186&gt;='Campaign Metadata'!B:B)*
         (A186&lt;='Campaign Metadata'!C:C),
      0)
   ),
"Non-Campaign")</f>
        <v>Non-Campaign</v>
      </c>
    </row>
    <row r="187" spans="1:8" ht="15.75" customHeight="1">
      <c r="A187" s="4">
        <v>45873</v>
      </c>
      <c r="B187" s="1" t="s">
        <v>33</v>
      </c>
      <c r="C187" s="5">
        <v>616</v>
      </c>
      <c r="D187" s="5">
        <v>93</v>
      </c>
      <c r="E187" s="5">
        <v>133082</v>
      </c>
      <c r="F187" s="6">
        <v>8.5099999999999995E-2</v>
      </c>
      <c r="G187" s="5">
        <v>18303</v>
      </c>
      <c r="H187" s="3" t="str" cm="1">
        <f t="array" ref="H187">IFERROR(
   INDEX('Campaign Metadata'!A:A,
      MATCH(1,
         (A187&gt;='Campaign Metadata'!B:B)*
         (A187&lt;='Campaign Metadata'!C:C),
      0)
   ),
"Non-Campaign")</f>
        <v>Non-Campaign</v>
      </c>
    </row>
    <row r="188" spans="1:8" ht="15.75" customHeight="1">
      <c r="A188" s="4">
        <v>45880</v>
      </c>
      <c r="B188" s="1" t="s">
        <v>15</v>
      </c>
      <c r="C188" s="5">
        <v>1080</v>
      </c>
      <c r="D188" s="5">
        <v>184</v>
      </c>
      <c r="E188" s="5">
        <v>340557</v>
      </c>
      <c r="F188" s="6">
        <v>5.4100000000000002E-2</v>
      </c>
      <c r="G188" s="5">
        <v>5526</v>
      </c>
      <c r="H188" s="3" t="str" cm="1">
        <f t="array" ref="H188">IFERROR(
   INDEX('Campaign Metadata'!A:A,
      MATCH(1,
         (A188&gt;='Campaign Metadata'!B:B)*
         (A188&lt;='Campaign Metadata'!C:C),
      0)
   ),
"Non-Campaign")</f>
        <v>Non-Campaign</v>
      </c>
    </row>
    <row r="189" spans="1:8" ht="15.75" customHeight="1">
      <c r="A189" s="4">
        <v>45880</v>
      </c>
      <c r="B189" s="1" t="s">
        <v>26</v>
      </c>
      <c r="C189" s="5">
        <v>938</v>
      </c>
      <c r="D189" s="5">
        <v>236</v>
      </c>
      <c r="E189" s="5">
        <v>116472</v>
      </c>
      <c r="F189" s="6">
        <v>8.72E-2</v>
      </c>
      <c r="G189" s="5">
        <v>17460</v>
      </c>
      <c r="H189" s="3" t="str" cm="1">
        <f t="array" ref="H189">IFERROR(
   INDEX('Campaign Metadata'!A:A,
      MATCH(1,
         (A189&gt;='Campaign Metadata'!B:B)*
         (A189&lt;='Campaign Metadata'!C:C),
      0)
   ),
"Non-Campaign")</f>
        <v>Non-Campaign</v>
      </c>
    </row>
    <row r="190" spans="1:8" ht="15.75" customHeight="1">
      <c r="A190" s="4">
        <v>45880</v>
      </c>
      <c r="B190" s="1" t="s">
        <v>33</v>
      </c>
      <c r="C190" s="5">
        <v>1007</v>
      </c>
      <c r="D190" s="5">
        <v>258</v>
      </c>
      <c r="E190" s="5">
        <v>113412</v>
      </c>
      <c r="F190" s="6">
        <v>7.7100000000000002E-2</v>
      </c>
      <c r="G190" s="5">
        <v>14475</v>
      </c>
      <c r="H190" s="3" t="str" cm="1">
        <f t="array" ref="H190">IFERROR(
   INDEX('Campaign Metadata'!A:A,
      MATCH(1,
         (A190&gt;='Campaign Metadata'!B:B)*
         (A190&lt;='Campaign Metadata'!C:C),
      0)
   ),
"Non-Campaign")</f>
        <v>Non-Campaign</v>
      </c>
    </row>
    <row r="191" spans="1:8" ht="15.75" customHeight="1">
      <c r="A191" s="4">
        <v>45887</v>
      </c>
      <c r="B191" s="1" t="s">
        <v>15</v>
      </c>
      <c r="C191" s="5">
        <v>541</v>
      </c>
      <c r="D191" s="5">
        <v>208</v>
      </c>
      <c r="E191" s="5">
        <v>157547</v>
      </c>
      <c r="F191" s="6">
        <v>8.3499999999999991E-2</v>
      </c>
      <c r="G191" s="5">
        <v>20162</v>
      </c>
      <c r="H191" s="3" t="str" cm="1">
        <f t="array" ref="H191">IFERROR(
   INDEX('Campaign Metadata'!A:A,
      MATCH(1,
         (A191&gt;='Campaign Metadata'!B:B)*
         (A191&lt;='Campaign Metadata'!C:C),
      0)
   ),
"Non-Campaign")</f>
        <v>Non-Campaign</v>
      </c>
    </row>
    <row r="192" spans="1:8" ht="15.75" customHeight="1">
      <c r="A192" s="4">
        <v>45887</v>
      </c>
      <c r="B192" s="1" t="s">
        <v>26</v>
      </c>
      <c r="C192" s="5">
        <v>745</v>
      </c>
      <c r="D192" s="5">
        <v>98</v>
      </c>
      <c r="E192" s="5">
        <v>354816</v>
      </c>
      <c r="F192" s="6">
        <v>4.0300000000000002E-2</v>
      </c>
      <c r="G192" s="5">
        <v>17103</v>
      </c>
      <c r="H192" s="3" t="str" cm="1">
        <f t="array" ref="H192">IFERROR(
   INDEX('Campaign Metadata'!A:A,
      MATCH(1,
         (A192&gt;='Campaign Metadata'!B:B)*
         (A192&lt;='Campaign Metadata'!C:C),
      0)
   ),
"Non-Campaign")</f>
        <v>Non-Campaign</v>
      </c>
    </row>
    <row r="193" spans="1:8" ht="15.75" customHeight="1">
      <c r="A193" s="4">
        <v>45887</v>
      </c>
      <c r="B193" s="1" t="s">
        <v>33</v>
      </c>
      <c r="C193" s="5">
        <v>936</v>
      </c>
      <c r="D193" s="5">
        <v>97</v>
      </c>
      <c r="E193" s="5">
        <v>151799</v>
      </c>
      <c r="F193" s="6">
        <v>9.3699999999999992E-2</v>
      </c>
      <c r="G193" s="5">
        <v>15461</v>
      </c>
      <c r="H193" s="3" t="str" cm="1">
        <f t="array" ref="H193">IFERROR(
   INDEX('Campaign Metadata'!A:A,
      MATCH(1,
         (A193&gt;='Campaign Metadata'!B:B)*
         (A193&lt;='Campaign Metadata'!C:C),
      0)
   ),
"Non-Campaign")</f>
        <v>Non-Campaign</v>
      </c>
    </row>
    <row r="194" spans="1:8" ht="15.75" customHeight="1">
      <c r="A194" s="4">
        <v>45894</v>
      </c>
      <c r="B194" s="1" t="s">
        <v>15</v>
      </c>
      <c r="C194" s="5">
        <v>1183</v>
      </c>
      <c r="D194" s="5">
        <v>223</v>
      </c>
      <c r="E194" s="5">
        <v>143811</v>
      </c>
      <c r="F194" s="6">
        <v>6.0700000000000004E-2</v>
      </c>
      <c r="G194" s="5">
        <v>22103</v>
      </c>
      <c r="H194" s="3" t="str" cm="1">
        <f t="array" ref="H194">IFERROR(
   INDEX('Campaign Metadata'!A:A,
      MATCH(1,
         (A194&gt;='Campaign Metadata'!B:B)*
         (A194&lt;='Campaign Metadata'!C:C),
      0)
   ),
"Non-Campaign")</f>
        <v>Non-Campaign</v>
      </c>
    </row>
    <row r="195" spans="1:8" ht="15.75" customHeight="1">
      <c r="A195" s="4">
        <v>45894</v>
      </c>
      <c r="B195" s="1" t="s">
        <v>26</v>
      </c>
      <c r="C195" s="5">
        <v>1413</v>
      </c>
      <c r="D195" s="5">
        <v>245</v>
      </c>
      <c r="E195" s="5">
        <v>296450</v>
      </c>
      <c r="F195" s="6">
        <v>6.5199999999999994E-2</v>
      </c>
      <c r="G195" s="5">
        <v>11625</v>
      </c>
      <c r="H195" s="3" t="str" cm="1">
        <f t="array" ref="H195">IFERROR(
   INDEX('Campaign Metadata'!A:A,
      MATCH(1,
         (A195&gt;='Campaign Metadata'!B:B)*
         (A195&lt;='Campaign Metadata'!C:C),
      0)
   ),
"Non-Campaign")</f>
        <v>Non-Campaign</v>
      </c>
    </row>
    <row r="196" spans="1:8" ht="15.75" customHeight="1">
      <c r="A196" s="4">
        <v>45894</v>
      </c>
      <c r="B196" s="1" t="s">
        <v>33</v>
      </c>
      <c r="C196" s="5">
        <v>791</v>
      </c>
      <c r="D196" s="5">
        <v>273</v>
      </c>
      <c r="E196" s="5">
        <v>144049</v>
      </c>
      <c r="F196" s="6">
        <v>3.0800000000000001E-2</v>
      </c>
      <c r="G196" s="5">
        <v>5281</v>
      </c>
      <c r="H196" s="3" t="str" cm="1">
        <f t="array" ref="H196">IFERROR(
   INDEX('Campaign Metadata'!A:A,
      MATCH(1,
         (A196&gt;='Campaign Metadata'!B:B)*
         (A196&lt;='Campaign Metadata'!C:C),
      0)
   ),
"Non-Campaign")</f>
        <v>Non-Campaign</v>
      </c>
    </row>
    <row r="197" spans="1:8" ht="15.75" customHeight="1">
      <c r="A197" s="4">
        <v>45901</v>
      </c>
      <c r="B197" s="1" t="s">
        <v>15</v>
      </c>
      <c r="C197" s="5">
        <v>1052</v>
      </c>
      <c r="D197" s="5">
        <v>180</v>
      </c>
      <c r="E197" s="5">
        <v>272534</v>
      </c>
      <c r="F197" s="6">
        <v>5.3399999999999996E-2</v>
      </c>
      <c r="G197" s="5">
        <v>13424</v>
      </c>
      <c r="H197" s="3" t="str" cm="1">
        <f t="array" ref="H197">IFERROR(
   INDEX('Campaign Metadata'!A:A,
      MATCH(1,
         (A197&gt;='Campaign Metadata'!B:B)*
         (A197&lt;='Campaign Metadata'!C:C),
      0)
   ),
"Non-Campaign")</f>
        <v>Non-Campaign</v>
      </c>
    </row>
    <row r="198" spans="1:8" ht="15.75" customHeight="1">
      <c r="A198" s="4">
        <v>45901</v>
      </c>
      <c r="B198" s="1" t="s">
        <v>26</v>
      </c>
      <c r="C198" s="5">
        <v>572</v>
      </c>
      <c r="D198" s="5">
        <v>270</v>
      </c>
      <c r="E198" s="5">
        <v>82265</v>
      </c>
      <c r="F198" s="6">
        <v>3.6499999999999998E-2</v>
      </c>
      <c r="G198" s="5">
        <v>13140</v>
      </c>
      <c r="H198" s="3" t="str" cm="1">
        <f t="array" ref="H198">IFERROR(
   INDEX('Campaign Metadata'!A:A,
      MATCH(1,
         (A198&gt;='Campaign Metadata'!B:B)*
         (A198&lt;='Campaign Metadata'!C:C),
      0)
   ),
"Non-Campaign")</f>
        <v>Non-Campaign</v>
      </c>
    </row>
    <row r="199" spans="1:8" ht="15.75" customHeight="1">
      <c r="A199" s="4">
        <v>45901</v>
      </c>
      <c r="B199" s="1" t="s">
        <v>33</v>
      </c>
      <c r="C199" s="5">
        <v>503</v>
      </c>
      <c r="D199" s="5">
        <v>253</v>
      </c>
      <c r="E199" s="5">
        <v>313562</v>
      </c>
      <c r="F199" s="6">
        <v>4.1799999999999997E-2</v>
      </c>
      <c r="G199" s="5">
        <v>19538</v>
      </c>
      <c r="H199" s="3" t="str" cm="1">
        <f t="array" ref="H199">IFERROR(
   INDEX('Campaign Metadata'!A:A,
      MATCH(1,
         (A199&gt;='Campaign Metadata'!B:B)*
         (A199&lt;='Campaign Metadata'!C:C),
      0)
   ),
"Non-Campaign")</f>
        <v>Non-Campaign</v>
      </c>
    </row>
    <row r="200" spans="1:8" ht="15.75" customHeight="1">
      <c r="A200" s="4">
        <v>45908</v>
      </c>
      <c r="B200" s="1" t="s">
        <v>15</v>
      </c>
      <c r="C200" s="5">
        <v>1017</v>
      </c>
      <c r="D200" s="5">
        <v>197</v>
      </c>
      <c r="E200" s="5">
        <v>89918</v>
      </c>
      <c r="F200" s="6">
        <v>3.9100000000000003E-2</v>
      </c>
      <c r="G200" s="5">
        <v>7881</v>
      </c>
      <c r="H200" s="3" t="str" cm="1">
        <f t="array" ref="H200">IFERROR(
   INDEX('Campaign Metadata'!A:A,
      MATCH(1,
         (A200&gt;='Campaign Metadata'!B:B)*
         (A200&lt;='Campaign Metadata'!C:C),
      0)
   ),
"Non-Campaign")</f>
        <v>Non-Campaign</v>
      </c>
    </row>
    <row r="201" spans="1:8" ht="15.75" customHeight="1">
      <c r="A201" s="4">
        <v>45908</v>
      </c>
      <c r="B201" s="1" t="s">
        <v>26</v>
      </c>
      <c r="C201" s="5">
        <v>860</v>
      </c>
      <c r="D201" s="5">
        <v>244</v>
      </c>
      <c r="E201" s="5">
        <v>348686</v>
      </c>
      <c r="F201" s="6">
        <v>5.1200000000000002E-2</v>
      </c>
      <c r="G201" s="5">
        <v>11418</v>
      </c>
      <c r="H201" s="3" t="str" cm="1">
        <f t="array" ref="H201">IFERROR(
   INDEX('Campaign Metadata'!A:A,
      MATCH(1,
         (A201&gt;='Campaign Metadata'!B:B)*
         (A201&lt;='Campaign Metadata'!C:C),
      0)
   ),
"Non-Campaign")</f>
        <v>Non-Campaign</v>
      </c>
    </row>
    <row r="202" spans="1:8" ht="15.75" customHeight="1"/>
    <row r="203" spans="1:8" ht="15.75" customHeight="1"/>
    <row r="204" spans="1:8" ht="15.75" customHeight="1"/>
    <row r="205" spans="1:8" ht="15.75" customHeight="1"/>
    <row r="206" spans="1:8" ht="15.75" customHeight="1"/>
    <row r="207" spans="1:8" ht="15.75" customHeight="1"/>
    <row r="208" spans="1: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Campaign Metadata</vt:lpstr>
      <vt:lpstr>Cleaned Post</vt:lpstr>
      <vt:lpstr>Campaign_Performance</vt:lpstr>
      <vt:lpstr>Engagement Uplift</vt:lpstr>
      <vt:lpstr>Campaign ROI</vt:lpstr>
      <vt:lpstr>Engagement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Lad</dc:creator>
  <cp:lastModifiedBy>Pratik Lad</cp:lastModifiedBy>
  <dcterms:created xsi:type="dcterms:W3CDTF">2026-02-20T21:07:13Z</dcterms:created>
  <dcterms:modified xsi:type="dcterms:W3CDTF">2026-02-22T17:02:43Z</dcterms:modified>
</cp:coreProperties>
</file>